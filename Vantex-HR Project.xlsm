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dministrator\Desktop\Excel Completed Projects\"/>
    </mc:Choice>
  </mc:AlternateContent>
  <xr:revisionPtr revIDLastSave="0" documentId="13_ncr:1_{4C5DCAAF-AC9A-48D7-BB62-40F3921E4D59}" xr6:coauthVersionLast="47" xr6:coauthVersionMax="47" xr10:uidLastSave="{00000000-0000-0000-0000-000000000000}"/>
  <bookViews>
    <workbookView xWindow="-108" yWindow="-108" windowWidth="23256" windowHeight="12576" activeTab="2" xr2:uid="{00000000-000D-0000-FFFF-FFFF00000000}"/>
  </bookViews>
  <sheets>
    <sheet name="HR_Raw_Data" sheetId="1" r:id="rId1"/>
    <sheet name="Pivot Table 1" sheetId="2" r:id="rId2"/>
    <sheet name="Dashboard 1" sheetId="3" r:id="rId3"/>
    <sheet name="Dashboard 2" sheetId="4" r:id="rId4"/>
    <sheet name="Pivot Table 2" sheetId="5" r:id="rId5"/>
  </sheets>
  <definedNames>
    <definedName name="_xlcn.WorksheetConnection_HR_Raw_DataA1S9861" hidden="1">HR_Raw_Data!$A$1:$S$986</definedName>
    <definedName name="Slicer_Department">#N/A</definedName>
    <definedName name="Slicer_Department1">#N/A</definedName>
    <definedName name="Slicer_Employment_Status">#N/A</definedName>
    <definedName name="Slicer_Employment_Status1">#N/A</definedName>
    <definedName name="Slicer_Gender">#N/A</definedName>
    <definedName name="Slicer_Gender1">#N/A</definedName>
  </definedNames>
  <calcPr calcId="191029"/>
  <pivotCaches>
    <pivotCache cacheId="6" r:id="rId6"/>
    <pivotCache cacheId="7" r:id="rId7"/>
    <pivotCache cacheId="8" r:id="rId8"/>
    <pivotCache cacheId="9" r:id="rId9"/>
    <pivotCache cacheId="10" r:id="rId10"/>
    <pivotCache cacheId="11" r:id="rId11"/>
    <pivotCache cacheId="33" r:id="rId12"/>
    <pivotCache cacheId="36" r:id="rId13"/>
    <pivotCache cacheId="39" r:id="rId14"/>
    <pivotCache cacheId="42" r:id="rId15"/>
    <pivotCache cacheId="45" r:id="rId16"/>
    <pivotCache cacheId="48" r:id="rId17"/>
  </pivotCaches>
  <extLst>
    <ext xmlns:x14="http://schemas.microsoft.com/office/spreadsheetml/2009/9/main" uri="{876F7934-8845-4945-9796-88D515C7AA90}">
      <x14:pivotCaches>
        <pivotCache cacheId="12" r:id="rId18"/>
      </x14:pivotCaches>
    </ext>
    <ext xmlns:x14="http://schemas.microsoft.com/office/spreadsheetml/2009/9/main" uri="{BBE1A952-AA13-448e-AADC-164F8A28A991}">
      <x14:slicerCaches>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HR_Raw_Data!$A$1:$S$986"/>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5" l="1"/>
  <c r="I4" i="5"/>
  <c r="I3" i="5"/>
  <c r="I2" i="5"/>
  <c r="J6" i="2"/>
  <c r="J2" i="2"/>
  <c r="J5" i="2"/>
  <c r="J4" i="2"/>
  <c r="J3" i="2"/>
  <c r="J3" i="5" l="1"/>
  <c r="J4" i="5"/>
  <c r="J5" i="5"/>
  <c r="J2" i="5"/>
  <c r="K4" i="2"/>
  <c r="K5" i="2"/>
  <c r="K6" i="2"/>
  <c r="K3" i="2"/>
  <c r="K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817B53-E24B-4B2B-B647-B77C39493647}" keepAlive="1" name="Query - Table1 (2)" description="Connection to the 'Table1 (2)' query in the workbook." type="5" refreshedVersion="0" background="1">
    <dbPr connection="Provider=Microsoft.Mashup.OleDb.1;Data Source=$Workbook$;Location=&quot;Table1 (2)&quot;;Extended Properties=&quot;&quot;" command="SELECT * FROM [Table1 (2)]"/>
  </connection>
  <connection id="2" xr16:uid="{3D9BF9C4-836B-4141-929A-5492C5CC8E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35282280-E9AD-48C2-B509-0F051E7C83AD}" name="WorksheetConnection_HR_Raw_Data!$A$1:$S$986" type="102" refreshedVersion="8" minRefreshableVersion="5">
    <extLst>
      <ext xmlns:x15="http://schemas.microsoft.com/office/spreadsheetml/2010/11/main" uri="{DE250136-89BD-433C-8126-D09CA5730AF9}">
        <x15:connection id="Range" autoDelete="1">
          <x15:rangePr sourceName="_xlcn.WorksheetConnection_HR_Raw_DataA1S9861"/>
        </x15:connection>
      </ext>
    </extLst>
  </connection>
</connections>
</file>

<file path=xl/sharedStrings.xml><?xml version="1.0" encoding="utf-8"?>
<sst xmlns="http://schemas.openxmlformats.org/spreadsheetml/2006/main" count="14919" uniqueCount="2977">
  <si>
    <t>Employee_ID</t>
  </si>
  <si>
    <t>First_Name</t>
  </si>
  <si>
    <t>Last_Name</t>
  </si>
  <si>
    <t>Gender</t>
  </si>
  <si>
    <t>Age</t>
  </si>
  <si>
    <t>Email</t>
  </si>
  <si>
    <t>Phone_Number</t>
  </si>
  <si>
    <t>Department</t>
  </si>
  <si>
    <t>Job_Title</t>
  </si>
  <si>
    <t>Employment_Status</t>
  </si>
  <si>
    <t>Hire_Date</t>
  </si>
  <si>
    <t>Salary_NGN</t>
  </si>
  <si>
    <t>Education_Level</t>
  </si>
  <si>
    <t>Location</t>
  </si>
  <si>
    <t>Performance_Rating</t>
  </si>
  <si>
    <t>Years_of_Service</t>
  </si>
  <si>
    <t>EMP0001</t>
  </si>
  <si>
    <t>Victor</t>
  </si>
  <si>
    <t>Chukwu</t>
  </si>
  <si>
    <t>victor.chukwu@company.ng</t>
  </si>
  <si>
    <t>Officer - Human</t>
  </si>
  <si>
    <t>Port Harcourt</t>
  </si>
  <si>
    <t>EMP0002</t>
  </si>
  <si>
    <t>Aregbesola</t>
  </si>
  <si>
    <t>Female</t>
  </si>
  <si>
    <t>victor.aregbesola@yahoo.com</t>
  </si>
  <si>
    <t>08016475255</t>
  </si>
  <si>
    <t>Officer - Legal</t>
  </si>
  <si>
    <t>Contract</t>
  </si>
  <si>
    <t>EMP0003</t>
  </si>
  <si>
    <t>Samuel</t>
  </si>
  <si>
    <t>Fashola</t>
  </si>
  <si>
    <t>samuel.fashola@hotmail.com</t>
  </si>
  <si>
    <t>08069653287</t>
  </si>
  <si>
    <t>Executive - Customer</t>
  </si>
  <si>
    <t>Intern</t>
  </si>
  <si>
    <t>EMP0004</t>
  </si>
  <si>
    <t>Chioma</t>
  </si>
  <si>
    <t>Tinubu</t>
  </si>
  <si>
    <t>chioma.tinubu@hotmail.com</t>
  </si>
  <si>
    <t>Senior Manager - Finance</t>
  </si>
  <si>
    <t>HND</t>
  </si>
  <si>
    <t>EMP0005</t>
  </si>
  <si>
    <t>Tunde</t>
  </si>
  <si>
    <t>Musa</t>
  </si>
  <si>
    <t>Male</t>
  </si>
  <si>
    <t>tunde.musa@gmail.com</t>
  </si>
  <si>
    <t>Supervisor - Human</t>
  </si>
  <si>
    <t>Full Time</t>
  </si>
  <si>
    <t>EMP0006</t>
  </si>
  <si>
    <t>Omole</t>
  </si>
  <si>
    <t>tunde.omole@company.ng</t>
  </si>
  <si>
    <t>08073602606</t>
  </si>
  <si>
    <t>Procurement</t>
  </si>
  <si>
    <t>Manager - Procurement</t>
  </si>
  <si>
    <t>EMP0007</t>
  </si>
  <si>
    <t>Monday</t>
  </si>
  <si>
    <t>Balogun</t>
  </si>
  <si>
    <t>monday.balogun@hotmail.com</t>
  </si>
  <si>
    <t>Senior Analyst - Information</t>
  </si>
  <si>
    <t>EMP0008</t>
  </si>
  <si>
    <t>Daniel</t>
  </si>
  <si>
    <t>Adeleke</t>
  </si>
  <si>
    <t>daniel.adeleke@outlook.com</t>
  </si>
  <si>
    <t>Senior Analyst - Marketing</t>
  </si>
  <si>
    <t>Good</t>
  </si>
  <si>
    <t>EMP0009</t>
  </si>
  <si>
    <t>Emmanuel</t>
  </si>
  <si>
    <t>Aliyu</t>
  </si>
  <si>
    <t>emmanuel.aliyu@yahoo.com</t>
  </si>
  <si>
    <t>Junior Analyst - Finance</t>
  </si>
  <si>
    <t>Part Time</t>
  </si>
  <si>
    <t>Average</t>
  </si>
  <si>
    <t>EMP0010</t>
  </si>
  <si>
    <t>Femi</t>
  </si>
  <si>
    <t>Obiora</t>
  </si>
  <si>
    <t>femi.obiora@hotmail.com</t>
  </si>
  <si>
    <t>08016934060</t>
  </si>
  <si>
    <t>Manager - Logistics</t>
  </si>
  <si>
    <t>Poor</t>
  </si>
  <si>
    <t>EMP0011</t>
  </si>
  <si>
    <t>Grace</t>
  </si>
  <si>
    <t>Otedola</t>
  </si>
  <si>
    <t>grace.otedola@outlook.com</t>
  </si>
  <si>
    <t>Assistant - Operations</t>
  </si>
  <si>
    <t>Seun</t>
  </si>
  <si>
    <t>Akintola</t>
  </si>
  <si>
    <t>seun.akintola@gmail.com</t>
  </si>
  <si>
    <t>08072788957</t>
  </si>
  <si>
    <t>Junior Analyst - Information</t>
  </si>
  <si>
    <t>Kano</t>
  </si>
  <si>
    <t>EMP0013</t>
  </si>
  <si>
    <t>Ruth</t>
  </si>
  <si>
    <t>Adewale</t>
  </si>
  <si>
    <t>ruth.adewale@company.ng</t>
  </si>
  <si>
    <t>Director - Finance</t>
  </si>
  <si>
    <t>EMP0014</t>
  </si>
  <si>
    <t>Yemi</t>
  </si>
  <si>
    <t>Babatunde</t>
  </si>
  <si>
    <t>yemi.babatunde@company.ng</t>
  </si>
  <si>
    <t>Marketing</t>
  </si>
  <si>
    <t>Coordinator - Marketing</t>
  </si>
  <si>
    <t>EMP0015</t>
  </si>
  <si>
    <t>Sunday</t>
  </si>
  <si>
    <t>Adeyemi</t>
  </si>
  <si>
    <t>sunday.adeyemi@outlook.com</t>
  </si>
  <si>
    <t>Head - Operations</t>
  </si>
  <si>
    <t>EMP0016</t>
  </si>
  <si>
    <t>Kwara</t>
  </si>
  <si>
    <t>grace.kwara@outlook.com</t>
  </si>
  <si>
    <t>Manager - Customer</t>
  </si>
  <si>
    <t>MSc</t>
  </si>
  <si>
    <t>EMP0017</t>
  </si>
  <si>
    <t>Paul</t>
  </si>
  <si>
    <t>Atiku</t>
  </si>
  <si>
    <t>paul.atiku@outlook.com</t>
  </si>
  <si>
    <t>08035240824</t>
  </si>
  <si>
    <t>Officer - Marketing</t>
  </si>
  <si>
    <t>EMP0018</t>
  </si>
  <si>
    <t>Blessing</t>
  </si>
  <si>
    <t>Afolabi</t>
  </si>
  <si>
    <t>blessing.afolabi@hotmail.com</t>
  </si>
  <si>
    <t>Junior Analyst - Logistics</t>
  </si>
  <si>
    <t>EMP0019</t>
  </si>
  <si>
    <t>Kemi</t>
  </si>
  <si>
    <t>Junior Analyst - Human</t>
  </si>
  <si>
    <t>EMP0020</t>
  </si>
  <si>
    <t>Gbenga</t>
  </si>
  <si>
    <t>gbenga.kwara@hotmail.com</t>
  </si>
  <si>
    <t>Specialist - Finance</t>
  </si>
  <si>
    <t>B.Sc</t>
  </si>
  <si>
    <t>EMP0021</t>
  </si>
  <si>
    <t>Funmi</t>
  </si>
  <si>
    <t>Nnamdi</t>
  </si>
  <si>
    <t>funmi.nnamdi@outlook.com</t>
  </si>
  <si>
    <t>Senior Analyst - Finance</t>
  </si>
  <si>
    <t>EMP0022</t>
  </si>
  <si>
    <t>Sade</t>
  </si>
  <si>
    <t>sade.otedola@yahoo.com</t>
  </si>
  <si>
    <t>08070289517</t>
  </si>
  <si>
    <t>Senior Manager - Customer</t>
  </si>
  <si>
    <t>Ibrahim</t>
  </si>
  <si>
    <t>ibrahim.adeleke@outlook.com</t>
  </si>
  <si>
    <t>Analyst - Finance</t>
  </si>
  <si>
    <t>EMP0024</t>
  </si>
  <si>
    <t>Adaugo</t>
  </si>
  <si>
    <t>Ogunleye</t>
  </si>
  <si>
    <t>EMP0025</t>
  </si>
  <si>
    <t>Obinna</t>
  </si>
  <si>
    <t>Garba</t>
  </si>
  <si>
    <t>obinna.garba@yahoo.com</t>
  </si>
  <si>
    <t>Coordinator - Sales</t>
  </si>
  <si>
    <t>Ibadan</t>
  </si>
  <si>
    <t>EMP0026</t>
  </si>
  <si>
    <t>Salisu</t>
  </si>
  <si>
    <t>Olawale</t>
  </si>
  <si>
    <t>salisu.olawale@gmail.com</t>
  </si>
  <si>
    <t>Specialist - Customer</t>
  </si>
  <si>
    <t>Excellent</t>
  </si>
  <si>
    <t>EMP0027</t>
  </si>
  <si>
    <t>Amaka</t>
  </si>
  <si>
    <t>Adeniji</t>
  </si>
  <si>
    <t>amaka.adeniji@hotmail.com</t>
  </si>
  <si>
    <t>Specialist - Information</t>
  </si>
  <si>
    <t>EMP0028</t>
  </si>
  <si>
    <t>funmi.ibrahim@hotmail.com</t>
  </si>
  <si>
    <t>Senior Analyst - Logistics</t>
  </si>
  <si>
    <t>EMP0029</t>
  </si>
  <si>
    <t>daniel.chukwu@hotmail.com</t>
  </si>
  <si>
    <t>EMP0030</t>
  </si>
  <si>
    <t>victor.adeyemi@hotmail.com</t>
  </si>
  <si>
    <t>EMP0031</t>
  </si>
  <si>
    <t>paul.akintola@gmail.com</t>
  </si>
  <si>
    <t>Director - Marketing</t>
  </si>
  <si>
    <t>EMP0032</t>
  </si>
  <si>
    <t>Hauwa</t>
  </si>
  <si>
    <t>Obi</t>
  </si>
  <si>
    <t>hauwa.obi@hotmail.com</t>
  </si>
  <si>
    <t>08021277997</t>
  </si>
  <si>
    <t>Lead - Legal</t>
  </si>
  <si>
    <t>EMP0033</t>
  </si>
  <si>
    <t>adaugo.babatunde@hotmail.com</t>
  </si>
  <si>
    <t>EMP0034</t>
  </si>
  <si>
    <t>Nwachukwu</t>
  </si>
  <si>
    <t>daniel.nwachukwu@company.ng</t>
  </si>
  <si>
    <t>Head - Legal</t>
  </si>
  <si>
    <t>EMP0035</t>
  </si>
  <si>
    <t>Emeka</t>
  </si>
  <si>
    <t>emeka.afolabi@yahoo.com</t>
  </si>
  <si>
    <t>EMP0036</t>
  </si>
  <si>
    <t>Ngozi</t>
  </si>
  <si>
    <t>ngozi.afolabi@outlook.com</t>
  </si>
  <si>
    <t>Assistant - Human</t>
  </si>
  <si>
    <t>EMP0037</t>
  </si>
  <si>
    <t>ruth.nwachukwu@gmail.com</t>
  </si>
  <si>
    <t>Manager - Operations</t>
  </si>
  <si>
    <t>EMP0038</t>
  </si>
  <si>
    <t>ruth.babatunde@hotmail.com</t>
  </si>
  <si>
    <t>PHD</t>
  </si>
  <si>
    <t>EMP0039</t>
  </si>
  <si>
    <t>Benue</t>
  </si>
  <si>
    <t>obinna.benue@gmail.com</t>
  </si>
  <si>
    <t>EMP0040</t>
  </si>
  <si>
    <t>femi.garba@company.ng</t>
  </si>
  <si>
    <t>Supervisor - Sales</t>
  </si>
  <si>
    <t>Lagos</t>
  </si>
  <si>
    <t>EMP0041</t>
  </si>
  <si>
    <t>John</t>
  </si>
  <si>
    <t>john.afolabi@yahoo.com</t>
  </si>
  <si>
    <t>Logistics</t>
  </si>
  <si>
    <t>Analyst - Logistics</t>
  </si>
  <si>
    <t>EMP0042</t>
  </si>
  <si>
    <t>Patience</t>
  </si>
  <si>
    <t>Nwosu</t>
  </si>
  <si>
    <t>patience.nwosu@company.ng</t>
  </si>
  <si>
    <t>Manager - Human</t>
  </si>
  <si>
    <t>PhD</t>
  </si>
  <si>
    <t>EMP0043</t>
  </si>
  <si>
    <t>grace.afolabi@hotmail.com</t>
  </si>
  <si>
    <t>Senior Manager - Information</t>
  </si>
  <si>
    <t>EMP0044</t>
  </si>
  <si>
    <t>Kogi</t>
  </si>
  <si>
    <t>grace.kogi@outlook.com</t>
  </si>
  <si>
    <t>EMP0045</t>
  </si>
  <si>
    <t>Peter</t>
  </si>
  <si>
    <t>peter.benue@yahoo.com</t>
  </si>
  <si>
    <t>08089623091</t>
  </si>
  <si>
    <t>Coordinator - Human</t>
  </si>
  <si>
    <t>EMP0046</t>
  </si>
  <si>
    <t>Ekiti</t>
  </si>
  <si>
    <t>emmanuel.ekiti@outlook.com</t>
  </si>
  <si>
    <t>Executive - Operations</t>
  </si>
  <si>
    <t>EMP0047</t>
  </si>
  <si>
    <t>Bello</t>
  </si>
  <si>
    <t>08026773454</t>
  </si>
  <si>
    <t>Information Technology</t>
  </si>
  <si>
    <t>EMP0048</t>
  </si>
  <si>
    <t>Buhari</t>
  </si>
  <si>
    <t>salisu.buhari@company.ng</t>
  </si>
  <si>
    <t>Senior Manager - Sales</t>
  </si>
  <si>
    <t>EMP0049</t>
  </si>
  <si>
    <t>emmanuel.tinubu@company.ng</t>
  </si>
  <si>
    <t>08027956878</t>
  </si>
  <si>
    <t>Senior Analyst - Operations</t>
  </si>
  <si>
    <t>N/A</t>
  </si>
  <si>
    <t>EMP0050</t>
  </si>
  <si>
    <t>yemi.tinubu@company.ng</t>
  </si>
  <si>
    <t>Supervisor - Customer</t>
  </si>
  <si>
    <t>EMP0051</t>
  </si>
  <si>
    <t>Ogundele</t>
  </si>
  <si>
    <t>salisu.ogundele@hotmail.com</t>
  </si>
  <si>
    <t>08068633752</t>
  </si>
  <si>
    <t>Lead - Procurement</t>
  </si>
  <si>
    <t>OND</t>
  </si>
  <si>
    <t>EMP0052</t>
  </si>
  <si>
    <t>peter.otedola@hotmail.com</t>
  </si>
  <si>
    <t>08036440892</t>
  </si>
  <si>
    <t>Supervisor - Legal</t>
  </si>
  <si>
    <t>EMP0053</t>
  </si>
  <si>
    <t>Toyin</t>
  </si>
  <si>
    <t>EMP0054</t>
  </si>
  <si>
    <t>peter.ogunleye@gmail.com</t>
  </si>
  <si>
    <t>Specialist - Legal</t>
  </si>
  <si>
    <t>EMP0055</t>
  </si>
  <si>
    <t>Eze</t>
  </si>
  <si>
    <t>daniel.eze@company.ng</t>
  </si>
  <si>
    <t>08050997700</t>
  </si>
  <si>
    <t>Analyst - Human</t>
  </si>
  <si>
    <t>EMP0056</t>
  </si>
  <si>
    <t>Ifeoma</t>
  </si>
  <si>
    <t>ifeoma.kogi@yahoo.com</t>
  </si>
  <si>
    <t>Finance</t>
  </si>
  <si>
    <t>EMP0057</t>
  </si>
  <si>
    <t>Idris</t>
  </si>
  <si>
    <t>Lead - Marketing</t>
  </si>
  <si>
    <t>EMP0058</t>
  </si>
  <si>
    <t>EMP0059</t>
  </si>
  <si>
    <t>Okafor</t>
  </si>
  <si>
    <t>ifeoma.okafor@hotmail.com</t>
  </si>
  <si>
    <t>08024593752</t>
  </si>
  <si>
    <t>EMP0060</t>
  </si>
  <si>
    <t>Fatima</t>
  </si>
  <si>
    <t>fatima.kogi@gmail.com</t>
  </si>
  <si>
    <t>08079796886</t>
  </si>
  <si>
    <t>Head - Sales</t>
  </si>
  <si>
    <t>EMP0061</t>
  </si>
  <si>
    <t>Aisha</t>
  </si>
  <si>
    <t>Lawal</t>
  </si>
  <si>
    <t>aisha.lawal@outlook.com</t>
  </si>
  <si>
    <t>08061125457</t>
  </si>
  <si>
    <t>Junior Analyst - Customer</t>
  </si>
  <si>
    <t>musa.adeyemi@gmail.com</t>
  </si>
  <si>
    <t>Executive - Logistics</t>
  </si>
  <si>
    <t>EMP0063</t>
  </si>
  <si>
    <t>ibrahim.obiora@yahoo.com</t>
  </si>
  <si>
    <t>Assistant - Sales</t>
  </si>
  <si>
    <t>EMP0064</t>
  </si>
  <si>
    <t>Oluwaseun</t>
  </si>
  <si>
    <t>oluwaseun.atiku@outlook.com</t>
  </si>
  <si>
    <t>08007451713</t>
  </si>
  <si>
    <t>EMP0065</t>
  </si>
  <si>
    <t>James</t>
  </si>
  <si>
    <t>james.afolabi@company.ng</t>
  </si>
  <si>
    <t>Senior Manager - Human</t>
  </si>
  <si>
    <t>yemi.otedola@company.ng</t>
  </si>
  <si>
    <t>08001277063</t>
  </si>
  <si>
    <t>EMP0067</t>
  </si>
  <si>
    <t>aisha.okafor@gmail.com</t>
  </si>
  <si>
    <t>08015542622</t>
  </si>
  <si>
    <t>EMP0068</t>
  </si>
  <si>
    <t>Esther</t>
  </si>
  <si>
    <t>esther.adeyemi@yahoo.com</t>
  </si>
  <si>
    <t>08076137918</t>
  </si>
  <si>
    <t>EMP0069</t>
  </si>
  <si>
    <t>Osun</t>
  </si>
  <si>
    <t>funmi.osun@yahoo.com</t>
  </si>
  <si>
    <t>Supervisor - Procurement</t>
  </si>
  <si>
    <t>EMP0070</t>
  </si>
  <si>
    <t>Usman</t>
  </si>
  <si>
    <t>ibrahim.usman@company.ng</t>
  </si>
  <si>
    <t>Coordinator - Procurement</t>
  </si>
  <si>
    <t>EMP0071</t>
  </si>
  <si>
    <t>emeka.ogundele@outlook.com</t>
  </si>
  <si>
    <t>EMP0939</t>
  </si>
  <si>
    <t>ngozi.adeyemi@gmail.com</t>
  </si>
  <si>
    <t>EMP0072</t>
  </si>
  <si>
    <t>Nneka</t>
  </si>
  <si>
    <t>Okonkwo</t>
  </si>
  <si>
    <t>nneka.okonkwo@hotmail.com</t>
  </si>
  <si>
    <t>08026199062</t>
  </si>
  <si>
    <t>Principal Officer - Human</t>
  </si>
  <si>
    <t>EMP0073</t>
  </si>
  <si>
    <t>Lead - Operations</t>
  </si>
  <si>
    <t>EMP0074</t>
  </si>
  <si>
    <t>toyin.chukwu@company.ng</t>
  </si>
  <si>
    <t>EMP0075</t>
  </si>
  <si>
    <t>Akande</t>
  </si>
  <si>
    <t>gbenga.akande@yahoo.com</t>
  </si>
  <si>
    <t>Principal Officer - Information</t>
  </si>
  <si>
    <t>EMP0076</t>
  </si>
  <si>
    <t>Chidi</t>
  </si>
  <si>
    <t>08092185156</t>
  </si>
  <si>
    <t>EMP0077</t>
  </si>
  <si>
    <t>Specialist - Marketing</t>
  </si>
  <si>
    <t>EMP0078</t>
  </si>
  <si>
    <t>femi.adeleke@hotmail.com</t>
  </si>
  <si>
    <t>EMP0079</t>
  </si>
  <si>
    <t>Bola</t>
  </si>
  <si>
    <t>Abdullahi</t>
  </si>
  <si>
    <t>bola.abdullahi@company.ng</t>
  </si>
  <si>
    <t>EMP0080</t>
  </si>
  <si>
    <t>patience.adeyemi@outlook.com</t>
  </si>
  <si>
    <t>08057861035</t>
  </si>
  <si>
    <t>Abuja</t>
  </si>
  <si>
    <t>EMP0083</t>
  </si>
  <si>
    <t>yemi.ekiti@outlook.com</t>
  </si>
  <si>
    <t>08066574374</t>
  </si>
  <si>
    <t>Junior Analyst - Marketing</t>
  </si>
  <si>
    <t>EMP0084</t>
  </si>
  <si>
    <t>Adaeze</t>
  </si>
  <si>
    <t>adaeze.akande@company.ng</t>
  </si>
  <si>
    <t>EMP0085</t>
  </si>
  <si>
    <t>Suleiman</t>
  </si>
  <si>
    <t>sunday.suleiman@company.ng</t>
  </si>
  <si>
    <t>08084602235</t>
  </si>
  <si>
    <t>Senior Analyst - Sales</t>
  </si>
  <si>
    <t>EMP0086</t>
  </si>
  <si>
    <t>zainab.idris@hotmail.com</t>
  </si>
  <si>
    <t>Human Resources</t>
  </si>
  <si>
    <t>EMP0087</t>
  </si>
  <si>
    <t>oluwaseun.ekiti@gmail.com</t>
  </si>
  <si>
    <t>08000167618</t>
  </si>
  <si>
    <t>EMP0088</t>
  </si>
  <si>
    <t>Principal Officer - Procurement</t>
  </si>
  <si>
    <t>EMP0089</t>
  </si>
  <si>
    <t>peter.okonkwo@company.ng</t>
  </si>
  <si>
    <t>EMP0090</t>
  </si>
  <si>
    <t>Dayo</t>
  </si>
  <si>
    <t>dayo.kwara@company.ng</t>
  </si>
  <si>
    <t>Assistant - Legal</t>
  </si>
  <si>
    <t>EMP0091</t>
  </si>
  <si>
    <t>funmi.akande@outlook.com</t>
  </si>
  <si>
    <t>08003758997</t>
  </si>
  <si>
    <t>Coordinator - Logistics</t>
  </si>
  <si>
    <t>EMP0092</t>
  </si>
  <si>
    <t>Ifeanyi</t>
  </si>
  <si>
    <t>ifeanyi.musa@hotmail.com</t>
  </si>
  <si>
    <t>08082708086</t>
  </si>
  <si>
    <t>Manager - Finance</t>
  </si>
  <si>
    <t>EMP0093</t>
  </si>
  <si>
    <t>Officer - Procurement</t>
  </si>
  <si>
    <t>EMP0094</t>
  </si>
  <si>
    <t>aisha.adeleke@outlook.com</t>
  </si>
  <si>
    <t>Head - Logistics</t>
  </si>
  <si>
    <t>Operations</t>
  </si>
  <si>
    <t>Specialist - Operations</t>
  </si>
  <si>
    <t>EMP0096</t>
  </si>
  <si>
    <t>08058877043</t>
  </si>
  <si>
    <t>Principal Officer - Legal</t>
  </si>
  <si>
    <t>EMP0097</t>
  </si>
  <si>
    <t>patience.nnamdi@gmail.com</t>
  </si>
  <si>
    <t>Director - Operations</t>
  </si>
  <si>
    <t>EMP0098</t>
  </si>
  <si>
    <t>blessing.nwachukwu@outlook.com</t>
  </si>
  <si>
    <t>08036822239</t>
  </si>
  <si>
    <t>EMP0099</t>
  </si>
  <si>
    <t>aisha.musa@company.ng</t>
  </si>
  <si>
    <t>EMP0100</t>
  </si>
  <si>
    <t>Dangote</t>
  </si>
  <si>
    <t>emeka.dangote@hotmail.com</t>
  </si>
  <si>
    <t>Principal Officer - Operations</t>
  </si>
  <si>
    <t>EMP0101</t>
  </si>
  <si>
    <t>Yakubu</t>
  </si>
  <si>
    <t>yakubu.nwosu@hotmail.com</t>
  </si>
  <si>
    <t>08026659184</t>
  </si>
  <si>
    <t>Senior Analyst - Human</t>
  </si>
  <si>
    <t>Zainab</t>
  </si>
  <si>
    <t>zainab.ogunleye@yahoo.com</t>
  </si>
  <si>
    <t>Head - Information</t>
  </si>
  <si>
    <t>EMP0103</t>
  </si>
  <si>
    <t>adaugo.idris@yahoo.com</t>
  </si>
  <si>
    <t>Manager - Marketing</t>
  </si>
  <si>
    <t>EMP0104</t>
  </si>
  <si>
    <t>salisu.afolabi@company.ng</t>
  </si>
  <si>
    <t>08035651269</t>
  </si>
  <si>
    <t>EMP0105</t>
  </si>
  <si>
    <t>Junior Analyst - Procurement</t>
  </si>
  <si>
    <t>EMP0106</t>
  </si>
  <si>
    <t>oluwaseun.aliyu@yahoo.com</t>
  </si>
  <si>
    <t>EMP0107</t>
  </si>
  <si>
    <t>yakubu.kogi@yahoo.com</t>
  </si>
  <si>
    <t>EMP0108</t>
  </si>
  <si>
    <t>funmi.kogi@hotmail.com</t>
  </si>
  <si>
    <t>Manager - Sales</t>
  </si>
  <si>
    <t>EMP0109</t>
  </si>
  <si>
    <t>toyin.lawal@yahoo.com</t>
  </si>
  <si>
    <t>EMP0110</t>
  </si>
  <si>
    <t>EMP0111</t>
  </si>
  <si>
    <t>EMP0112</t>
  </si>
  <si>
    <t>nneka.dangote@company.ng</t>
  </si>
  <si>
    <t>Lead - Sales</t>
  </si>
  <si>
    <t>EMP0113</t>
  </si>
  <si>
    <t>adaugo.idris@outlook.com</t>
  </si>
  <si>
    <t>EMP0720</t>
  </si>
  <si>
    <t>obinna.babatunde@yahoo.com</t>
  </si>
  <si>
    <t>Lead - Information</t>
  </si>
  <si>
    <t>EMP0114</t>
  </si>
  <si>
    <t>toyin.okonkwo@outlook.com</t>
  </si>
  <si>
    <t>08060136730</t>
  </si>
  <si>
    <t>EMP0115</t>
  </si>
  <si>
    <t>nneka.adeniji@yahoo.com</t>
  </si>
  <si>
    <t>EMP0116</t>
  </si>
  <si>
    <t>chioma.atiku@outlook.com</t>
  </si>
  <si>
    <t>ifeanyi.adeleke@gmail.com</t>
  </si>
  <si>
    <t>08003717058</t>
  </si>
  <si>
    <t>Head - Human</t>
  </si>
  <si>
    <t>EMP0118</t>
  </si>
  <si>
    <t>victor.otedola@hotmail.com</t>
  </si>
  <si>
    <t>08068528975</t>
  </si>
  <si>
    <t>Executive - Legal</t>
  </si>
  <si>
    <t>EMP0119</t>
  </si>
  <si>
    <t>chidi.abdullahi@hotmail.com</t>
  </si>
  <si>
    <t>EMP0120</t>
  </si>
  <si>
    <t>bola.nnamdi@hotmail.com</t>
  </si>
  <si>
    <t>EMP0121</t>
  </si>
  <si>
    <t>nneka.akintola@yahoo.com</t>
  </si>
  <si>
    <t>EMP0122</t>
  </si>
  <si>
    <t>femi.dangote@outlook.com</t>
  </si>
  <si>
    <t>EMP0123</t>
  </si>
  <si>
    <t>ifeoma.musa@yahoo.com</t>
  </si>
  <si>
    <t>EMP0124</t>
  </si>
  <si>
    <t>yemi.akintola@gmail.com</t>
  </si>
  <si>
    <t>08025205664</t>
  </si>
  <si>
    <t>Principal Officer - Marketing</t>
  </si>
  <si>
    <t>EMP0125</t>
  </si>
  <si>
    <t>Adesanya</t>
  </si>
  <si>
    <t>yemi.adesanya@yahoo.com</t>
  </si>
  <si>
    <t>Manager - Information</t>
  </si>
  <si>
    <t>EMP0126</t>
  </si>
  <si>
    <t>victor.eze@gmail.com</t>
  </si>
  <si>
    <t>Executive - Information</t>
  </si>
  <si>
    <t>EMP0127</t>
  </si>
  <si>
    <t>obinna.idris@yahoo.com</t>
  </si>
  <si>
    <t>EMP0128</t>
  </si>
  <si>
    <t>kemi.eze@gmail.com</t>
  </si>
  <si>
    <t>Legal</t>
  </si>
  <si>
    <t>Analyst - Legal</t>
  </si>
  <si>
    <t>EMP0129</t>
  </si>
  <si>
    <t>victor.buhari@hotmail.com</t>
  </si>
  <si>
    <t>Lead - Finance</t>
  </si>
  <si>
    <t>EMP0130</t>
  </si>
  <si>
    <t>john.okafor@yahoo.com</t>
  </si>
  <si>
    <t>08055770272</t>
  </si>
  <si>
    <t>EMP0131</t>
  </si>
  <si>
    <t>patience.akande@outlook.com</t>
  </si>
  <si>
    <t>EMP0132</t>
  </si>
  <si>
    <t>EMP0133</t>
  </si>
  <si>
    <t>adaugo.eze@yahoo.com</t>
  </si>
  <si>
    <t>EMP0134</t>
  </si>
  <si>
    <t>musa.adeleke@hotmail.com</t>
  </si>
  <si>
    <t>EMP0135</t>
  </si>
  <si>
    <t>EMP0136</t>
  </si>
  <si>
    <t>sunday.ogundele@yahoo.com</t>
  </si>
  <si>
    <t>Director - Legal</t>
  </si>
  <si>
    <t>ruth.tinubu@outlook.com</t>
  </si>
  <si>
    <t>EMP0138</t>
  </si>
  <si>
    <t>monday.abdullahi@hotmail.com</t>
  </si>
  <si>
    <t>EMP0139</t>
  </si>
  <si>
    <t>EMP0140</t>
  </si>
  <si>
    <t>femi.ekiti@hotmail.com</t>
  </si>
  <si>
    <t>EMP0141</t>
  </si>
  <si>
    <t>femi.suleiman@outlook.com</t>
  </si>
  <si>
    <t>Principal Officer - Sales</t>
  </si>
  <si>
    <t>EMP0142</t>
  </si>
  <si>
    <t>08076618306</t>
  </si>
  <si>
    <t>EMP0143</t>
  </si>
  <si>
    <t>Hassan</t>
  </si>
  <si>
    <t>Sales</t>
  </si>
  <si>
    <t>EMP0144</t>
  </si>
  <si>
    <t>Junior Analyst - Operations</t>
  </si>
  <si>
    <t>victor.aregbesola@hotmail.com</t>
  </si>
  <si>
    <t>08046723248</t>
  </si>
  <si>
    <t>Analyst - Customer</t>
  </si>
  <si>
    <t>EMP0146</t>
  </si>
  <si>
    <t>Head - Finance</t>
  </si>
  <si>
    <t>EMP0147</t>
  </si>
  <si>
    <t>ibrahim.nwachukwu@outlook.com</t>
  </si>
  <si>
    <t>08035209042</t>
  </si>
  <si>
    <t>Analyst - Information</t>
  </si>
  <si>
    <t>EMP0148</t>
  </si>
  <si>
    <t>ibrahim.adeniji@hotmail.com</t>
  </si>
  <si>
    <t>EMP0149</t>
  </si>
  <si>
    <t>victor.balogun@hotmail.com</t>
  </si>
  <si>
    <t>EMP0150</t>
  </si>
  <si>
    <t>emmanuel.akintola@company.ng</t>
  </si>
  <si>
    <t>08088479513</t>
  </si>
  <si>
    <t>EMP0151</t>
  </si>
  <si>
    <t>dayo.buhari@hotmail.com</t>
  </si>
  <si>
    <t>EMP0152</t>
  </si>
  <si>
    <t>babatunde.nwachukwu@company.ng</t>
  </si>
  <si>
    <t>08027520885</t>
  </si>
  <si>
    <t>EMP0153</t>
  </si>
  <si>
    <t>sunday.buhari@gmail.com</t>
  </si>
  <si>
    <t>08086375998</t>
  </si>
  <si>
    <t>Officer - Information</t>
  </si>
  <si>
    <t>EMP0154</t>
  </si>
  <si>
    <t>bello.musa@hotmail.com</t>
  </si>
  <si>
    <t>08023264870</t>
  </si>
  <si>
    <t>EMP0155</t>
  </si>
  <si>
    <t>zainab.otedola@hotmail.com</t>
  </si>
  <si>
    <t>Coordinator - Customer</t>
  </si>
  <si>
    <t>EMP0156</t>
  </si>
  <si>
    <t>bello.suleiman@yahoo.com</t>
  </si>
  <si>
    <t>08090714014</t>
  </si>
  <si>
    <t>EMP0158</t>
  </si>
  <si>
    <t>Uche</t>
  </si>
  <si>
    <t>uche.adesanya@hotmail.com</t>
  </si>
  <si>
    <t>EMP0159</t>
  </si>
  <si>
    <t>zainab.kogi@gmail.com</t>
  </si>
  <si>
    <t>Manager - Legal</t>
  </si>
  <si>
    <t>EMP0160</t>
  </si>
  <si>
    <t>yemi.adeyemi@outlook.com</t>
  </si>
  <si>
    <t>08024991187</t>
  </si>
  <si>
    <t>EMP0161</t>
  </si>
  <si>
    <t>ifeoma.idris@company.ng</t>
  </si>
  <si>
    <t>EMP0162</t>
  </si>
  <si>
    <t>ifeoma.chukwu@company.ng</t>
  </si>
  <si>
    <t>EMP0163</t>
  </si>
  <si>
    <t>sunday.adeleke@gmail.com</t>
  </si>
  <si>
    <t>EMP0164</t>
  </si>
  <si>
    <t>emmanuel.abdullahi@yahoo.com</t>
  </si>
  <si>
    <t>EMP0165</t>
  </si>
  <si>
    <t>fatima.lawal@hotmail.com</t>
  </si>
  <si>
    <t>EMP0166</t>
  </si>
  <si>
    <t>ruth.lawal@hotmail.com</t>
  </si>
  <si>
    <t>EMP0167</t>
  </si>
  <si>
    <t>femi.tinubu@gmail.com</t>
  </si>
  <si>
    <t>EMP0168</t>
  </si>
  <si>
    <t>Officer - Logistics</t>
  </si>
  <si>
    <t>EMP0169</t>
  </si>
  <si>
    <t>EMP0170</t>
  </si>
  <si>
    <t>08074564494</t>
  </si>
  <si>
    <t>EMP0171</t>
  </si>
  <si>
    <t>yakubu.fashola@hotmail.com</t>
  </si>
  <si>
    <t>08049939089</t>
  </si>
  <si>
    <t>EMP0172</t>
  </si>
  <si>
    <t>aisha.ibrahim@hotmail.com</t>
  </si>
  <si>
    <t>ibrahim.lawal@yahoo.com</t>
  </si>
  <si>
    <t>08027881476</t>
  </si>
  <si>
    <t>Director - Logistics</t>
  </si>
  <si>
    <t>EMP0174</t>
  </si>
  <si>
    <t>chioma.obiora@company.ng</t>
  </si>
  <si>
    <t>Customer Service</t>
  </si>
  <si>
    <t>Senior Analyst - Customer</t>
  </si>
  <si>
    <t>EMP0175</t>
  </si>
  <si>
    <t>ngozi.adewale@outlook.com</t>
  </si>
  <si>
    <t>Analyst - Sales</t>
  </si>
  <si>
    <t>EMP0176</t>
  </si>
  <si>
    <t>abdullahi.nnamdi@company.ng</t>
  </si>
  <si>
    <t>Director - Human</t>
  </si>
  <si>
    <t>EMP0177</t>
  </si>
  <si>
    <t>zainab.olawale@yahoo.com</t>
  </si>
  <si>
    <t>08080054522</t>
  </si>
  <si>
    <t>Analyst - Marketing</t>
  </si>
  <si>
    <t>EMP0178</t>
  </si>
  <si>
    <t>seun.aregbesola@yahoo.com</t>
  </si>
  <si>
    <t>08052478712</t>
  </si>
  <si>
    <t>Senior Manager - Logistics</t>
  </si>
  <si>
    <t>EMP0179</t>
  </si>
  <si>
    <t>yakubu.buhari@gmail.com</t>
  </si>
  <si>
    <t>08055626060</t>
  </si>
  <si>
    <t>EMP0180</t>
  </si>
  <si>
    <t>08062884318</t>
  </si>
  <si>
    <t>Junior Analyst - Legal</t>
  </si>
  <si>
    <t>EMP0181</t>
  </si>
  <si>
    <t>sade.adeniji@outlook.com</t>
  </si>
  <si>
    <t>Principal Officer - Logistics</t>
  </si>
  <si>
    <t>EMP0182</t>
  </si>
  <si>
    <t>fatima.adesanya@gmail.com</t>
  </si>
  <si>
    <t>EMP0183</t>
  </si>
  <si>
    <t>08087772519</t>
  </si>
  <si>
    <t>EMP0184</t>
  </si>
  <si>
    <t>hauwa.adeyemi@hotmail.com</t>
  </si>
  <si>
    <t>EMP0185</t>
  </si>
  <si>
    <t>bola.eze@gmail.com</t>
  </si>
  <si>
    <t>EMP0186</t>
  </si>
  <si>
    <t>yakubu.aregbesola@company.ng</t>
  </si>
  <si>
    <t>Analyst - Operations</t>
  </si>
  <si>
    <t>EMP0187</t>
  </si>
  <si>
    <t>yemi.ekiti@hotmail.com</t>
  </si>
  <si>
    <t>EMP0188</t>
  </si>
  <si>
    <t>ruth.akande@yahoo.com</t>
  </si>
  <si>
    <t>08083999219</t>
  </si>
  <si>
    <t>EMP0189</t>
  </si>
  <si>
    <t>08087506351</t>
  </si>
  <si>
    <t>Specialist - Sales</t>
  </si>
  <si>
    <t>EMP0190</t>
  </si>
  <si>
    <t>sade.balogun@gmail.com</t>
  </si>
  <si>
    <t>08065120704</t>
  </si>
  <si>
    <t>EMP0191</t>
  </si>
  <si>
    <t>seun.adeleke@company.ng</t>
  </si>
  <si>
    <t>08097232002</t>
  </si>
  <si>
    <t>EMP0192</t>
  </si>
  <si>
    <t>daniel.ogunleye@outlook.com</t>
  </si>
  <si>
    <t>08021707303</t>
  </si>
  <si>
    <t>EMP0193</t>
  </si>
  <si>
    <t>dayo.garba@gmail.com</t>
  </si>
  <si>
    <t>Senior Manager - Marketing</t>
  </si>
  <si>
    <t>EMP0194</t>
  </si>
  <si>
    <t>kemi.ibrahim@gmail.com</t>
  </si>
  <si>
    <t>08079128685</t>
  </si>
  <si>
    <t>EMP0195</t>
  </si>
  <si>
    <t>james.okonkwo@company.ng</t>
  </si>
  <si>
    <t>08076657546</t>
  </si>
  <si>
    <t>EMP0196</t>
  </si>
  <si>
    <t>james.atiku@hotmail.com</t>
  </si>
  <si>
    <t>EMP0197</t>
  </si>
  <si>
    <t>emmanuel.ogundele@outlook.com</t>
  </si>
  <si>
    <t>08099996636</t>
  </si>
  <si>
    <t>Specialist - Procurement</t>
  </si>
  <si>
    <t>EMP0198</t>
  </si>
  <si>
    <t>gbenga.afolabi@yahoo.com</t>
  </si>
  <si>
    <t>EMP0199</t>
  </si>
  <si>
    <t>chioma.afolabi@hotmail.com</t>
  </si>
  <si>
    <t>EMP0200</t>
  </si>
  <si>
    <t>musa.nwosu@gmail.com</t>
  </si>
  <si>
    <t>EMP0201</t>
  </si>
  <si>
    <t>monday.okafor@company.ng</t>
  </si>
  <si>
    <t>08000531312</t>
  </si>
  <si>
    <t>EMP0202</t>
  </si>
  <si>
    <t>amaka.afolabi@gmail.com</t>
  </si>
  <si>
    <t>08095625257</t>
  </si>
  <si>
    <t>Supervisor - Operations</t>
  </si>
  <si>
    <t>EMP0203</t>
  </si>
  <si>
    <t>monday.omole@outlook.com</t>
  </si>
  <si>
    <t>08003553380</t>
  </si>
  <si>
    <t>Coordinator - Legal</t>
  </si>
  <si>
    <t>EMP0204</t>
  </si>
  <si>
    <t>obinna.obi@yahoo.com</t>
  </si>
  <si>
    <t>EMP0205</t>
  </si>
  <si>
    <t>kemi.obi@outlook.com</t>
  </si>
  <si>
    <t>EMP0206</t>
  </si>
  <si>
    <t>femi.aliyu@company.ng</t>
  </si>
  <si>
    <t>EMP0207</t>
  </si>
  <si>
    <t>samuel.suleiman@gmail.com</t>
  </si>
  <si>
    <t>08079323023</t>
  </si>
  <si>
    <t>EMP0208</t>
  </si>
  <si>
    <t>chidi.idris@outlook.com</t>
  </si>
  <si>
    <t>EMP0209</t>
  </si>
  <si>
    <t>emeka.ibrahim@gmail.com</t>
  </si>
  <si>
    <t>EMP0210</t>
  </si>
  <si>
    <t>08091566863</t>
  </si>
  <si>
    <t>Head - Marketing</t>
  </si>
  <si>
    <t>EMP0211</t>
  </si>
  <si>
    <t>sunday.nnamdi@company.ng</t>
  </si>
  <si>
    <t>EMP0212</t>
  </si>
  <si>
    <t>musa.musa@outlook.com</t>
  </si>
  <si>
    <t>08038612590</t>
  </si>
  <si>
    <t>EMP0213</t>
  </si>
  <si>
    <t>chioma.eze@company.ng</t>
  </si>
  <si>
    <t>Supervisor - Finance</t>
  </si>
  <si>
    <t>EMP0214</t>
  </si>
  <si>
    <t>esther.adeyemi@gmail.com</t>
  </si>
  <si>
    <t>EMP0215</t>
  </si>
  <si>
    <t>EMP0216</t>
  </si>
  <si>
    <t>ibrahim.idris@outlook.com</t>
  </si>
  <si>
    <t>EMP0217</t>
  </si>
  <si>
    <t>blessing.akande@yahoo.com</t>
  </si>
  <si>
    <t>08069405396</t>
  </si>
  <si>
    <t>EMP0218</t>
  </si>
  <si>
    <t>chidi.akintola@gmail.com</t>
  </si>
  <si>
    <t>08060930685</t>
  </si>
  <si>
    <t>Analyst - Procurement</t>
  </si>
  <si>
    <t>salisu.chukwu@outlook.com</t>
  </si>
  <si>
    <t>EMP0221</t>
  </si>
  <si>
    <t>monday.okafor@hotmail.com</t>
  </si>
  <si>
    <t>EMP0222</t>
  </si>
  <si>
    <t>hauwa.akintola@gmail.com</t>
  </si>
  <si>
    <t>EMP0223</t>
  </si>
  <si>
    <t>samuel.obi@yahoo.com</t>
  </si>
  <si>
    <t>08082023684</t>
  </si>
  <si>
    <t>EMP0224</t>
  </si>
  <si>
    <t>hauwa.balogun@yahoo.com</t>
  </si>
  <si>
    <t>EMP0225</t>
  </si>
  <si>
    <t>funmi.dangote@gmail.com</t>
  </si>
  <si>
    <t>EMP0226</t>
  </si>
  <si>
    <t>08063761820</t>
  </si>
  <si>
    <t>Coordinator - Operations</t>
  </si>
  <si>
    <t>sade.eze@gmail.com</t>
  </si>
  <si>
    <t>EMP0228</t>
  </si>
  <si>
    <t>daniel.kogi@outlook.com</t>
  </si>
  <si>
    <t>Senior Manager - Operations</t>
  </si>
  <si>
    <t>EMP0229</t>
  </si>
  <si>
    <t>abdullahi.atiku@yahoo.com</t>
  </si>
  <si>
    <t>EMP0230</t>
  </si>
  <si>
    <t>zainab.akande@company.ng</t>
  </si>
  <si>
    <t>EMP0231</t>
  </si>
  <si>
    <t>yemi.adewale@gmail.com</t>
  </si>
  <si>
    <t>EMP0232</t>
  </si>
  <si>
    <t>ifeoma.okafor@yahoo.com</t>
  </si>
  <si>
    <t>EMP0233</t>
  </si>
  <si>
    <t>ibrahim.nwosu@company.ng</t>
  </si>
  <si>
    <t>Officer - Customer</t>
  </si>
  <si>
    <t>EMP0234</t>
  </si>
  <si>
    <t>08038021462</t>
  </si>
  <si>
    <t>EMP0235</t>
  </si>
  <si>
    <t>zainab.nwachukwu@company.ng</t>
  </si>
  <si>
    <t>Supervisor - Information</t>
  </si>
  <si>
    <t>EMP0236</t>
  </si>
  <si>
    <t>EMP0237</t>
  </si>
  <si>
    <t>08076528928</t>
  </si>
  <si>
    <t>Director - Sales</t>
  </si>
  <si>
    <t>EMP0238</t>
  </si>
  <si>
    <t>amaka.nnamdi@company.ng</t>
  </si>
  <si>
    <t>EMP0239</t>
  </si>
  <si>
    <t>EMP0240</t>
  </si>
  <si>
    <t>EMP0241</t>
  </si>
  <si>
    <t>paul.garba@outlook.com</t>
  </si>
  <si>
    <t>EMP0242</t>
  </si>
  <si>
    <t>gbenga.aregbesola@company.ng</t>
  </si>
  <si>
    <t>EMP0243</t>
  </si>
  <si>
    <t>bello.adewale@company.ng</t>
  </si>
  <si>
    <t>EMP0244</t>
  </si>
  <si>
    <t>gbenga.hassan@gmail.com</t>
  </si>
  <si>
    <t>08059103002</t>
  </si>
  <si>
    <t>Assistant - Customer</t>
  </si>
  <si>
    <t>EMP0245</t>
  </si>
  <si>
    <t>bola.olawale@hotmail.com</t>
  </si>
  <si>
    <t>EMP0246</t>
  </si>
  <si>
    <t>hauwa.adeleke@company.ng</t>
  </si>
  <si>
    <t>08031462491</t>
  </si>
  <si>
    <t>EMP0247</t>
  </si>
  <si>
    <t>uche.obi@yahoo.com</t>
  </si>
  <si>
    <t>EMP0762</t>
  </si>
  <si>
    <t>08066686067</t>
  </si>
  <si>
    <t>EMP0248</t>
  </si>
  <si>
    <t>obinna.ibrahim@outlook.com</t>
  </si>
  <si>
    <t>EMP0249</t>
  </si>
  <si>
    <t>ifeoma.musa@gmail.com</t>
  </si>
  <si>
    <t>Head - Procurement</t>
  </si>
  <si>
    <t>EMP0250</t>
  </si>
  <si>
    <t>grace.chukwu@yahoo.com</t>
  </si>
  <si>
    <t>08072849824</t>
  </si>
  <si>
    <t>EMP0251</t>
  </si>
  <si>
    <t>ibrahim.adeniji@company.ng</t>
  </si>
  <si>
    <t>Officer - Finance</t>
  </si>
  <si>
    <t>EMP0252</t>
  </si>
  <si>
    <t>yakubu.afolabi@outlook.com</t>
  </si>
  <si>
    <t>EMP0253</t>
  </si>
  <si>
    <t>kemi.dangote@gmail.com</t>
  </si>
  <si>
    <t>Officer - Sales</t>
  </si>
  <si>
    <t>EMP0254</t>
  </si>
  <si>
    <t>salisu.obi@outlook.com</t>
  </si>
  <si>
    <t>EMP0255</t>
  </si>
  <si>
    <t>peter.otedola@company.ng</t>
  </si>
  <si>
    <t>EMP0256</t>
  </si>
  <si>
    <t>Executive - Human</t>
  </si>
  <si>
    <t>EMP0257</t>
  </si>
  <si>
    <t>zainab.tinubu@gmail.com</t>
  </si>
  <si>
    <t>08091284117</t>
  </si>
  <si>
    <t>EMP0258</t>
  </si>
  <si>
    <t>Specialist - Human</t>
  </si>
  <si>
    <t>EMP0259</t>
  </si>
  <si>
    <t>emmanuel.adeyemi@hotmail.com</t>
  </si>
  <si>
    <t>EMP0260</t>
  </si>
  <si>
    <t>daniel.chukwu@yahoo.com</t>
  </si>
  <si>
    <t>Coordinator - Finance</t>
  </si>
  <si>
    <t>EMP0261</t>
  </si>
  <si>
    <t>nneka.usman@company.ng</t>
  </si>
  <si>
    <t>EMP0262</t>
  </si>
  <si>
    <t>yakubu.akintola@yahoo.com</t>
  </si>
  <si>
    <t>Supervisor - Logistics</t>
  </si>
  <si>
    <t>EMP0263</t>
  </si>
  <si>
    <t>gbenga.balogun@hotmail.com</t>
  </si>
  <si>
    <t>EMP0264</t>
  </si>
  <si>
    <t>uche.nwachukwu@outlook.com</t>
  </si>
  <si>
    <t>EMP0265</t>
  </si>
  <si>
    <t>bello.eze@outlook.com</t>
  </si>
  <si>
    <t>kemi.otedola@hotmail.com</t>
  </si>
  <si>
    <t>08071206021</t>
  </si>
  <si>
    <t>EMP0267</t>
  </si>
  <si>
    <t>yemi.obiora@company.ng</t>
  </si>
  <si>
    <t>08065728941</t>
  </si>
  <si>
    <t>EMP0268</t>
  </si>
  <si>
    <t>uche.garba@hotmail.com</t>
  </si>
  <si>
    <t>08020908830</t>
  </si>
  <si>
    <t>EMP0269</t>
  </si>
  <si>
    <t>obinna.tinubu@outlook.com</t>
  </si>
  <si>
    <t>EMP0270</t>
  </si>
  <si>
    <t>grace.idris@yahoo.com</t>
  </si>
  <si>
    <t>EMP0271</t>
  </si>
  <si>
    <t>fatima.eze@outlook.com</t>
  </si>
  <si>
    <t>EMP0272</t>
  </si>
  <si>
    <t>08081867024</t>
  </si>
  <si>
    <t>EMP0273</t>
  </si>
  <si>
    <t>ifeanyi.akande@outlook.com</t>
  </si>
  <si>
    <t>EMP0274</t>
  </si>
  <si>
    <t>abdullahi.adeniji@gmail.com</t>
  </si>
  <si>
    <t>EMP0275</t>
  </si>
  <si>
    <t>bola.nwosu@gmail.com</t>
  </si>
  <si>
    <t>EMP0276</t>
  </si>
  <si>
    <t>esther.adeleke@hotmail.com</t>
  </si>
  <si>
    <t>08035034469</t>
  </si>
  <si>
    <t>EMP0277</t>
  </si>
  <si>
    <t>08070510287</t>
  </si>
  <si>
    <t>EMP0278</t>
  </si>
  <si>
    <t>samuel.hassan@yahoo.com</t>
  </si>
  <si>
    <t>EMP0279</t>
  </si>
  <si>
    <t>samuel.atiku@yahoo.com</t>
  </si>
  <si>
    <t>EMP0280</t>
  </si>
  <si>
    <t>monday.obi@outlook.com</t>
  </si>
  <si>
    <t>EMP0281</t>
  </si>
  <si>
    <t>nneka.obi@outlook.com</t>
  </si>
  <si>
    <t>08087209628</t>
  </si>
  <si>
    <t>EMP0282</t>
  </si>
  <si>
    <t>08025427820</t>
  </si>
  <si>
    <t>EMP0283</t>
  </si>
  <si>
    <t>ifeanyi.otedola@company.ng</t>
  </si>
  <si>
    <t>EMP0284</t>
  </si>
  <si>
    <t>Director - Customer</t>
  </si>
  <si>
    <t>EMP0285</t>
  </si>
  <si>
    <t>seun.ekiti@company.ng</t>
  </si>
  <si>
    <t>EMP0286</t>
  </si>
  <si>
    <t>bola.fashola@gmail.com</t>
  </si>
  <si>
    <t>EMP0287</t>
  </si>
  <si>
    <t>seun.idris@outlook.com</t>
  </si>
  <si>
    <t>Senior Analyst - Procurement</t>
  </si>
  <si>
    <t>EMP0288</t>
  </si>
  <si>
    <t>victor.ibrahim@hotmail.com</t>
  </si>
  <si>
    <t>08079695867</t>
  </si>
  <si>
    <t>EMP0289</t>
  </si>
  <si>
    <t>ngozi.nwachukwu@outlook.com</t>
  </si>
  <si>
    <t>EMP0290</t>
  </si>
  <si>
    <t>musa.fashola@outlook.com</t>
  </si>
  <si>
    <t>EMP0291</t>
  </si>
  <si>
    <t>chioma.ogunleye@hotmail.com</t>
  </si>
  <si>
    <t>EMP0292</t>
  </si>
  <si>
    <t>EMP0293</t>
  </si>
  <si>
    <t>EMP0294</t>
  </si>
  <si>
    <t>ifeoma.adewale@hotmail.com</t>
  </si>
  <si>
    <t>Coordinator - Information</t>
  </si>
  <si>
    <t>EMP0295</t>
  </si>
  <si>
    <t>yemi.buhari@gmail.com</t>
  </si>
  <si>
    <t>Officer - Operations</t>
  </si>
  <si>
    <t>EMP0296</t>
  </si>
  <si>
    <t>sade.musa@outlook.com</t>
  </si>
  <si>
    <t>EMP0297</t>
  </si>
  <si>
    <t>bello.ogunleye@outlook.com</t>
  </si>
  <si>
    <t>EMP0298</t>
  </si>
  <si>
    <t>nneka.adeleke@gmail.com</t>
  </si>
  <si>
    <t>EMP0299</t>
  </si>
  <si>
    <t>yemi.balogun@outlook.com</t>
  </si>
  <si>
    <t>EMP0300</t>
  </si>
  <si>
    <t>patience.babatunde@yahoo.com</t>
  </si>
  <si>
    <t>EMP0301</t>
  </si>
  <si>
    <t>ngozi.atiku@yahoo.com</t>
  </si>
  <si>
    <t>EMP0302</t>
  </si>
  <si>
    <t>abdullahi.akande@outlook.com</t>
  </si>
  <si>
    <t>EMP0303</t>
  </si>
  <si>
    <t>amaka.kwara@yahoo.com</t>
  </si>
  <si>
    <t>EMP0304</t>
  </si>
  <si>
    <t>yemi.akande@hotmail.com</t>
  </si>
  <si>
    <t>EMP0305</t>
  </si>
  <si>
    <t>paul.idris@outlook.com</t>
  </si>
  <si>
    <t>EMP0306</t>
  </si>
  <si>
    <t>yakubu.chukwu@hotmail.com</t>
  </si>
  <si>
    <t>EMP0307</t>
  </si>
  <si>
    <t>adaeze.ogundele@outlook.com</t>
  </si>
  <si>
    <t>EMP0308</t>
  </si>
  <si>
    <t>emmanuel.usman@yahoo.com</t>
  </si>
  <si>
    <t>EMP0309</t>
  </si>
  <si>
    <t>fatima.eze@company.ng</t>
  </si>
  <si>
    <t>EMP0310</t>
  </si>
  <si>
    <t>musa.nwosu@company.ng</t>
  </si>
  <si>
    <t>EMP0311</t>
  </si>
  <si>
    <t>EMP0312</t>
  </si>
  <si>
    <t>toyin.atiku@yahoo.com</t>
  </si>
  <si>
    <t>EMP0313</t>
  </si>
  <si>
    <t>oluwaseun.garba@yahoo.com</t>
  </si>
  <si>
    <t>EMP0314</t>
  </si>
  <si>
    <t>babatunde.balogun@yahoo.com</t>
  </si>
  <si>
    <t>EMP0315</t>
  </si>
  <si>
    <t>bola.musa@yahoo.com</t>
  </si>
  <si>
    <t>EMP0316</t>
  </si>
  <si>
    <t>chioma.obi@hotmail.com</t>
  </si>
  <si>
    <t>08059272827</t>
  </si>
  <si>
    <t>sade.lawal@company.ng</t>
  </si>
  <si>
    <t>EMP0318</t>
  </si>
  <si>
    <t>ifeanyi.okonkwo@gmail.com</t>
  </si>
  <si>
    <t>EMP0319</t>
  </si>
  <si>
    <t>adaugo.nnamdi@company.ng</t>
  </si>
  <si>
    <t>08094346066</t>
  </si>
  <si>
    <t>EMP0320</t>
  </si>
  <si>
    <t>uche.atiku@yahoo.com</t>
  </si>
  <si>
    <t>08018732807</t>
  </si>
  <si>
    <t>EMP0321</t>
  </si>
  <si>
    <t>samuel.eze@company.ng</t>
  </si>
  <si>
    <t>08007139848</t>
  </si>
  <si>
    <t>EMP0322</t>
  </si>
  <si>
    <t>Head - Customer</t>
  </si>
  <si>
    <t>EMP0912</t>
  </si>
  <si>
    <t>chioma.nwachukwu@outlook.com</t>
  </si>
  <si>
    <t>EMP0323</t>
  </si>
  <si>
    <t>yakubu.lawal@hotmail.com</t>
  </si>
  <si>
    <t>EMP0324</t>
  </si>
  <si>
    <t>samuel.ogundele@yahoo.com</t>
  </si>
  <si>
    <t>EMP0325</t>
  </si>
  <si>
    <t>grace.afolabi@yahoo.com</t>
  </si>
  <si>
    <t>Assistant - Marketing</t>
  </si>
  <si>
    <t>EMP0326</t>
  </si>
  <si>
    <t>ruth.okonkwo@yahoo.com</t>
  </si>
  <si>
    <t>EMP0327</t>
  </si>
  <si>
    <t>ibrahim.afolabi@company.ng</t>
  </si>
  <si>
    <t>EMP0328</t>
  </si>
  <si>
    <t>funmi.okafor@hotmail.com</t>
  </si>
  <si>
    <t>08037379274</t>
  </si>
  <si>
    <t>EMP0329</t>
  </si>
  <si>
    <t>femi.hassan@company.ng</t>
  </si>
  <si>
    <t>EMP0330</t>
  </si>
  <si>
    <t>musa.babatunde@outlook.com</t>
  </si>
  <si>
    <t>kemi.aliyu@outlook.com</t>
  </si>
  <si>
    <t>EMP0332</t>
  </si>
  <si>
    <t>sunday.aregbesola@yahoo.com</t>
  </si>
  <si>
    <t>EMP0333</t>
  </si>
  <si>
    <t>monday.chukwu@gmail.com</t>
  </si>
  <si>
    <t>EMP0334</t>
  </si>
  <si>
    <t>ngozi.osun@outlook.com</t>
  </si>
  <si>
    <t>EMP0335</t>
  </si>
  <si>
    <t>sade.eze@yahoo.com</t>
  </si>
  <si>
    <t>08022855660</t>
  </si>
  <si>
    <t>EMP0336</t>
  </si>
  <si>
    <t>obinna.obi@gmail.com</t>
  </si>
  <si>
    <t>EMP0337</t>
  </si>
  <si>
    <t>peter.idris@outlook.com</t>
  </si>
  <si>
    <t>EMP0338</t>
  </si>
  <si>
    <t>victor.kogi@hotmail.com</t>
  </si>
  <si>
    <t>EMP0339</t>
  </si>
  <si>
    <t>ibrahim.dangote@company.ng</t>
  </si>
  <si>
    <t>EMP0340</t>
  </si>
  <si>
    <t>EMP0341</t>
  </si>
  <si>
    <t>ifeanyi.okafor@company.ng</t>
  </si>
  <si>
    <t>EMP0342</t>
  </si>
  <si>
    <t>esther.ogunleye@gmail.com</t>
  </si>
  <si>
    <t>EMP0343</t>
  </si>
  <si>
    <t>patience.idris@company.ng</t>
  </si>
  <si>
    <t>EMP0344</t>
  </si>
  <si>
    <t>esther.akintola@company.ng</t>
  </si>
  <si>
    <t>08011145768</t>
  </si>
  <si>
    <t>EMP0345</t>
  </si>
  <si>
    <t>daniel.usman@yahoo.com</t>
  </si>
  <si>
    <t>EMP0346</t>
  </si>
  <si>
    <t>oluwaseun.ogundele@yahoo.com</t>
  </si>
  <si>
    <t>EMP0347</t>
  </si>
  <si>
    <t>monday.kwara@gmail.com</t>
  </si>
  <si>
    <t>EMP0348</t>
  </si>
  <si>
    <t>victor.aliyu@hotmail.com</t>
  </si>
  <si>
    <t>08078524914</t>
  </si>
  <si>
    <t>EMP0349</t>
  </si>
  <si>
    <t>james.eze@company.ng</t>
  </si>
  <si>
    <t>EMP0350</t>
  </si>
  <si>
    <t>dayo.aliyu@company.ng</t>
  </si>
  <si>
    <t>EMP0351</t>
  </si>
  <si>
    <t>musa.adewale@company.ng</t>
  </si>
  <si>
    <t>EMP0352</t>
  </si>
  <si>
    <t>adaeze.garba@yahoo.com</t>
  </si>
  <si>
    <t>Executive - Finance</t>
  </si>
  <si>
    <t>EMP0353</t>
  </si>
  <si>
    <t>sade.okafor@yahoo.com</t>
  </si>
  <si>
    <t>EMP0354</t>
  </si>
  <si>
    <t>EMP0355</t>
  </si>
  <si>
    <t>sade.nwachukwu@gmail.com</t>
  </si>
  <si>
    <t>EMP0356</t>
  </si>
  <si>
    <t>ibrahim.tinubu@yahoo.com</t>
  </si>
  <si>
    <t>08031964630</t>
  </si>
  <si>
    <t>EMP0357</t>
  </si>
  <si>
    <t>toyin.aregbesola@outlook.com</t>
  </si>
  <si>
    <t>EMP0358</t>
  </si>
  <si>
    <t>funmi.aliyu@company.ng</t>
  </si>
  <si>
    <t>Executive - Marketing</t>
  </si>
  <si>
    <t>EMP0359</t>
  </si>
  <si>
    <t>adaeze.okafor@gmail.com</t>
  </si>
  <si>
    <t>08002451091</t>
  </si>
  <si>
    <t>EMP0360</t>
  </si>
  <si>
    <t>toyin.kwara@company.ng</t>
  </si>
  <si>
    <t>EMP0361</t>
  </si>
  <si>
    <t>ifeanyi.hassan@company.ng</t>
  </si>
  <si>
    <t>EMP0362</t>
  </si>
  <si>
    <t>kemi.musa@hotmail.com</t>
  </si>
  <si>
    <t>Assistant - Procurement</t>
  </si>
  <si>
    <t>EMP0363</t>
  </si>
  <si>
    <t>ibrahim.eze@hotmail.com</t>
  </si>
  <si>
    <t>08007938841</t>
  </si>
  <si>
    <t>Assistant - Finance</t>
  </si>
  <si>
    <t>EMP0364</t>
  </si>
  <si>
    <t>salisu.benue@gmail.com</t>
  </si>
  <si>
    <t>08042175188</t>
  </si>
  <si>
    <t>EMP0365</t>
  </si>
  <si>
    <t>ibrahim.adeleke@hotmail.com</t>
  </si>
  <si>
    <t>emeka.osun@yahoo.com</t>
  </si>
  <si>
    <t>08046245618</t>
  </si>
  <si>
    <t>EMP0367</t>
  </si>
  <si>
    <t>james.dangote@hotmail.com</t>
  </si>
  <si>
    <t>08041604615</t>
  </si>
  <si>
    <t>EMP0368</t>
  </si>
  <si>
    <t>emmanuel.tinubu@yahoo.com</t>
  </si>
  <si>
    <t>08006396384</t>
  </si>
  <si>
    <t>EMP0369</t>
  </si>
  <si>
    <t>sade.nwosu@gmail.com</t>
  </si>
  <si>
    <t>EMP0370</t>
  </si>
  <si>
    <t>uche.adewale@company.ng</t>
  </si>
  <si>
    <t>08081975437</t>
  </si>
  <si>
    <t>Principal Officer - Customer</t>
  </si>
  <si>
    <t>EMP0371</t>
  </si>
  <si>
    <t>patience.adeleke@hotmail.com</t>
  </si>
  <si>
    <t>08027802058</t>
  </si>
  <si>
    <t>EMP0372</t>
  </si>
  <si>
    <t>dayo.akintola@gmail.com</t>
  </si>
  <si>
    <t>EMP0373</t>
  </si>
  <si>
    <t>obinna.kwara@hotmail.com</t>
  </si>
  <si>
    <t>EMP0375</t>
  </si>
  <si>
    <t>john.adeyemi@gmail.com</t>
  </si>
  <si>
    <t>08020381876</t>
  </si>
  <si>
    <t>EMP0376</t>
  </si>
  <si>
    <t>08072450000</t>
  </si>
  <si>
    <t>EMP0377</t>
  </si>
  <si>
    <t>uche.suleiman@gmail.com</t>
  </si>
  <si>
    <t>EMP0378</t>
  </si>
  <si>
    <t>obinna.otedola@yahoo.com</t>
  </si>
  <si>
    <t>08069987950</t>
  </si>
  <si>
    <t>EMP0379</t>
  </si>
  <si>
    <t>08094289464</t>
  </si>
  <si>
    <t>EMP0380</t>
  </si>
  <si>
    <t>salisu.kogi@outlook.com</t>
  </si>
  <si>
    <t>08048988031</t>
  </si>
  <si>
    <t>EMP0381</t>
  </si>
  <si>
    <t>ruth.chukwu@company.ng</t>
  </si>
  <si>
    <t>08018093391</t>
  </si>
  <si>
    <t>EMP0382</t>
  </si>
  <si>
    <t>08036577449</t>
  </si>
  <si>
    <t>Specialist - Logistics</t>
  </si>
  <si>
    <t>EMP0383</t>
  </si>
  <si>
    <t>08004288605</t>
  </si>
  <si>
    <t>EMP0384</t>
  </si>
  <si>
    <t>gbenga.adewale@yahoo.com</t>
  </si>
  <si>
    <t>EMP0385</t>
  </si>
  <si>
    <t>oluwaseun.omole@gmail.com</t>
  </si>
  <si>
    <t>EMP0386</t>
  </si>
  <si>
    <t>ifeoma.otedola@yahoo.com</t>
  </si>
  <si>
    <t>EMP0387</t>
  </si>
  <si>
    <t>uche.okafor@outlook.com</t>
  </si>
  <si>
    <t>EMP0388</t>
  </si>
  <si>
    <t>victor.nwachukwu@outlook.com</t>
  </si>
  <si>
    <t>08062072662</t>
  </si>
  <si>
    <t>EMP0390</t>
  </si>
  <si>
    <t>gbenga.hassan@yahoo.com</t>
  </si>
  <si>
    <t>EMP0391</t>
  </si>
  <si>
    <t>ibrahim.usman@gmail.com</t>
  </si>
  <si>
    <t>08027782210</t>
  </si>
  <si>
    <t>EMP0392</t>
  </si>
  <si>
    <t>fatima.adeyemi@company.ng</t>
  </si>
  <si>
    <t>EMP0393</t>
  </si>
  <si>
    <t>peter.balogun@company.ng</t>
  </si>
  <si>
    <t>EMP0394</t>
  </si>
  <si>
    <t>blessing.osun@company.ng</t>
  </si>
  <si>
    <t>EMP0395</t>
  </si>
  <si>
    <t>patience.obi@yahoo.com</t>
  </si>
  <si>
    <t>EMP0396</t>
  </si>
  <si>
    <t>08028572562</t>
  </si>
  <si>
    <t>Assistant - Information</t>
  </si>
  <si>
    <t>EMP0397</t>
  </si>
  <si>
    <t>EMP0398</t>
  </si>
  <si>
    <t>EMP0399</t>
  </si>
  <si>
    <t>aisha.usman@outlook.com</t>
  </si>
  <si>
    <t>EMP0400</t>
  </si>
  <si>
    <t>EMP0401</t>
  </si>
  <si>
    <t>EMP0402</t>
  </si>
  <si>
    <t>grace.okonkwo@gmail.com</t>
  </si>
  <si>
    <t>EMP0403</t>
  </si>
  <si>
    <t>kemi.aliyu@hotmail.com</t>
  </si>
  <si>
    <t>EMP0404</t>
  </si>
  <si>
    <t>peter.chukwu@yahoo.com</t>
  </si>
  <si>
    <t>EMP0405</t>
  </si>
  <si>
    <t>EMP0406</t>
  </si>
  <si>
    <t>EMP0407</t>
  </si>
  <si>
    <t>chioma.adeleke@gmail.com</t>
  </si>
  <si>
    <t>EMP0408</t>
  </si>
  <si>
    <t>babatunde.dangote@gmail.com</t>
  </si>
  <si>
    <t>EMP0409</t>
  </si>
  <si>
    <t>esther.suleiman@hotmail.com</t>
  </si>
  <si>
    <t>08075649157</t>
  </si>
  <si>
    <t>EMP0410</t>
  </si>
  <si>
    <t>EMP0636</t>
  </si>
  <si>
    <t>EMP0411</t>
  </si>
  <si>
    <t>aisha.akintola@yahoo.com</t>
  </si>
  <si>
    <t>EMP0412</t>
  </si>
  <si>
    <t>sunday.aliyu@hotmail.com</t>
  </si>
  <si>
    <t>EMP0413</t>
  </si>
  <si>
    <t>abdullahi.suleiman@company.ng</t>
  </si>
  <si>
    <t>EMP0414</t>
  </si>
  <si>
    <t>victor.garba@hotmail.com</t>
  </si>
  <si>
    <t>08072117088</t>
  </si>
  <si>
    <t>EMP0415</t>
  </si>
  <si>
    <t>femi.atiku@company.ng</t>
  </si>
  <si>
    <t>EMP0416</t>
  </si>
  <si>
    <t>abdullahi.dangote@outlook.com</t>
  </si>
  <si>
    <t>08017962409</t>
  </si>
  <si>
    <t>EMP0417</t>
  </si>
  <si>
    <t>yemi.okafor@gmail.com</t>
  </si>
  <si>
    <t>EMP0418</t>
  </si>
  <si>
    <t>femi.ibrahim@outlook.com</t>
  </si>
  <si>
    <t>EMP0419</t>
  </si>
  <si>
    <t>08092664869</t>
  </si>
  <si>
    <t>EMP0420</t>
  </si>
  <si>
    <t>oluwaseun.aliyu@gmail.com</t>
  </si>
  <si>
    <t>EMP0421</t>
  </si>
  <si>
    <t>blessing.aregbesola@outlook.com</t>
  </si>
  <si>
    <t>EMP0422</t>
  </si>
  <si>
    <t>08074625916</t>
  </si>
  <si>
    <t>EMP0423</t>
  </si>
  <si>
    <t>babatunde.omole@company.ng</t>
  </si>
  <si>
    <t>EMP0424</t>
  </si>
  <si>
    <t>nneka.eze@yahoo.com</t>
  </si>
  <si>
    <t>EMP0425</t>
  </si>
  <si>
    <t>EMP0426</t>
  </si>
  <si>
    <t>08039128788</t>
  </si>
  <si>
    <t>Senior Analyst - Legal</t>
  </si>
  <si>
    <t>EMP0427</t>
  </si>
  <si>
    <t>peter.akande@yahoo.com</t>
  </si>
  <si>
    <t>08097283391</t>
  </si>
  <si>
    <t>Director - Procurement</t>
  </si>
  <si>
    <t>EMP0428</t>
  </si>
  <si>
    <t>08076108143</t>
  </si>
  <si>
    <t>EMP0429</t>
  </si>
  <si>
    <t>seun.nwosu@outlook.com</t>
  </si>
  <si>
    <t>Lead - Human</t>
  </si>
  <si>
    <t>EMP0430</t>
  </si>
  <si>
    <t>john.dangote@hotmail.com</t>
  </si>
  <si>
    <t>08099626970</t>
  </si>
  <si>
    <t>EMP0431</t>
  </si>
  <si>
    <t>ibrahim.benue@outlook.com</t>
  </si>
  <si>
    <t>08018095217</t>
  </si>
  <si>
    <t>Senior Manager - Legal</t>
  </si>
  <si>
    <t>EMP0432</t>
  </si>
  <si>
    <t>Junior Analyst - Sales</t>
  </si>
  <si>
    <t>EMP0433</t>
  </si>
  <si>
    <t>gbenga.usman@yahoo.com</t>
  </si>
  <si>
    <t>08012616850</t>
  </si>
  <si>
    <t>EMP0434</t>
  </si>
  <si>
    <t>emeka.nwosu@outlook.com</t>
  </si>
  <si>
    <t>08018948543</t>
  </si>
  <si>
    <t>EMP0435</t>
  </si>
  <si>
    <t>EMP0436</t>
  </si>
  <si>
    <t>salisu.eze@hotmail.com</t>
  </si>
  <si>
    <t>08055156239</t>
  </si>
  <si>
    <t>EMP0437</t>
  </si>
  <si>
    <t>ruth.omole@outlook.com</t>
  </si>
  <si>
    <t>EMP0438</t>
  </si>
  <si>
    <t>aisha.suleiman@gmail.com</t>
  </si>
  <si>
    <t>08059503100</t>
  </si>
  <si>
    <t>EMP0439</t>
  </si>
  <si>
    <t>grace.aregbesola@yahoo.com</t>
  </si>
  <si>
    <t>08005610067</t>
  </si>
  <si>
    <t>EMP0440</t>
  </si>
  <si>
    <t>oluwaseun.nnamdi@gmail.com</t>
  </si>
  <si>
    <t>EMP0441</t>
  </si>
  <si>
    <t>james.atiku@company.ng</t>
  </si>
  <si>
    <t>08023802362</t>
  </si>
  <si>
    <t>EMP0443</t>
  </si>
  <si>
    <t>zainab.adesanya@company.ng</t>
  </si>
  <si>
    <t>EMP0444</t>
  </si>
  <si>
    <t>funmi.usman@gmail.com</t>
  </si>
  <si>
    <t>EMP0445</t>
  </si>
  <si>
    <t>08032102916</t>
  </si>
  <si>
    <t>EMP0446</t>
  </si>
  <si>
    <t>adaeze.lawal@company.ng</t>
  </si>
  <si>
    <t>EMP0447</t>
  </si>
  <si>
    <t>uche.nwachukwu@hotmail.com</t>
  </si>
  <si>
    <t>EMP0448</t>
  </si>
  <si>
    <t>chioma.lawal@gmail.com</t>
  </si>
  <si>
    <t>EMP0449</t>
  </si>
  <si>
    <t>hauwa.idris@hotmail.com</t>
  </si>
  <si>
    <t>EMP0450</t>
  </si>
  <si>
    <t>sunday.obi@gmail.com</t>
  </si>
  <si>
    <t>Director - Information</t>
  </si>
  <si>
    <t>EMP0451</t>
  </si>
  <si>
    <t>EMP0452</t>
  </si>
  <si>
    <t>chioma.olawale@yahoo.com</t>
  </si>
  <si>
    <t>esther.omole@yahoo.com</t>
  </si>
  <si>
    <t>EMP0454</t>
  </si>
  <si>
    <t>emmanuel.dangote@outlook.com</t>
  </si>
  <si>
    <t>EMP0455</t>
  </si>
  <si>
    <t>EMP0456</t>
  </si>
  <si>
    <t>08064119556</t>
  </si>
  <si>
    <t>EMP0457</t>
  </si>
  <si>
    <t>ifeanyi.otedola@gmail.com</t>
  </si>
  <si>
    <t>08098731267</t>
  </si>
  <si>
    <t>EMP0458</t>
  </si>
  <si>
    <t>monday.okonkwo@yahoo.com</t>
  </si>
  <si>
    <t>ifeanyi.idris@yahoo.com</t>
  </si>
  <si>
    <t>08073096496</t>
  </si>
  <si>
    <t>EMP0460</t>
  </si>
  <si>
    <t>bello.aregbesola@company.ng</t>
  </si>
  <si>
    <t>08034544344</t>
  </si>
  <si>
    <t>EMP0461</t>
  </si>
  <si>
    <t>sunday.musa@hotmail.com</t>
  </si>
  <si>
    <t>EMP0462</t>
  </si>
  <si>
    <t>adaugo.balogun@outlook.com</t>
  </si>
  <si>
    <t>08012137565</t>
  </si>
  <si>
    <t>Supervisor - Marketing</t>
  </si>
  <si>
    <t>adaeze.adewale@outlook.com</t>
  </si>
  <si>
    <t>EMP0464</t>
  </si>
  <si>
    <t>yakubu.garba@outlook.com</t>
  </si>
  <si>
    <t>08002289466</t>
  </si>
  <si>
    <t>EMP0465</t>
  </si>
  <si>
    <t>bola.kwara@hotmail.com</t>
  </si>
  <si>
    <t>EMP0466</t>
  </si>
  <si>
    <t>obinna.kwara@outlook.com</t>
  </si>
  <si>
    <t>EMP0467</t>
  </si>
  <si>
    <t>james.atiku@yahoo.com</t>
  </si>
  <si>
    <t>08079121211</t>
  </si>
  <si>
    <t>EMP0468</t>
  </si>
  <si>
    <t>paul.chukwu@hotmail.com</t>
  </si>
  <si>
    <t>EMP0469</t>
  </si>
  <si>
    <t>obinna.okafor@outlook.com</t>
  </si>
  <si>
    <t>EMP0470</t>
  </si>
  <si>
    <t>obinna.nwachukwu@outlook.com</t>
  </si>
  <si>
    <t>EMP0471</t>
  </si>
  <si>
    <t>tunde.ekiti@hotmail.com</t>
  </si>
  <si>
    <t>EMP0472</t>
  </si>
  <si>
    <t>victor.ogundele@yahoo.com</t>
  </si>
  <si>
    <t>08019262213</t>
  </si>
  <si>
    <t>samuel.adesanya@gmail.com</t>
  </si>
  <si>
    <t>08020005328</t>
  </si>
  <si>
    <t>EMP0474</t>
  </si>
  <si>
    <t>obinna.babatunde@hotmail.com</t>
  </si>
  <si>
    <t>08096337618</t>
  </si>
  <si>
    <t>EMP0475</t>
  </si>
  <si>
    <t>dayo.hassan@gmail.com</t>
  </si>
  <si>
    <t>EMP0476</t>
  </si>
  <si>
    <t>paul.kogi@yahoo.com</t>
  </si>
  <si>
    <t>EMP0477</t>
  </si>
  <si>
    <t>08099464183</t>
  </si>
  <si>
    <t>gbenga.adesanya@gmail.com</t>
  </si>
  <si>
    <t>08008248458</t>
  </si>
  <si>
    <t>EMP0479</t>
  </si>
  <si>
    <t>oluwaseun.okafor@hotmail.com</t>
  </si>
  <si>
    <t>EMP0480</t>
  </si>
  <si>
    <t>dayo.usman@company.ng</t>
  </si>
  <si>
    <t>08086524062</t>
  </si>
  <si>
    <t>EMP0481</t>
  </si>
  <si>
    <t>uche.kogi@yahoo.com</t>
  </si>
  <si>
    <t>08083507124</t>
  </si>
  <si>
    <t>EMP0482</t>
  </si>
  <si>
    <t>babatunde.dangote@yahoo.com</t>
  </si>
  <si>
    <t>EMP0483</t>
  </si>
  <si>
    <t>08030537880</t>
  </si>
  <si>
    <t>EMP0484</t>
  </si>
  <si>
    <t>chioma.ibrahim@outlook.com</t>
  </si>
  <si>
    <t>08037801891</t>
  </si>
  <si>
    <t>EMP0485</t>
  </si>
  <si>
    <t>sunday.adeyemi@hotmail.com</t>
  </si>
  <si>
    <t>08035211896</t>
  </si>
  <si>
    <t>EMP0486</t>
  </si>
  <si>
    <t>bello.chukwu@hotmail.com</t>
  </si>
  <si>
    <t>EMP0487</t>
  </si>
  <si>
    <t>salisu.chukwu@gmail.com</t>
  </si>
  <si>
    <t>08099217790</t>
  </si>
  <si>
    <t>EMP0488</t>
  </si>
  <si>
    <t>chidi.aliyu@yahoo.com</t>
  </si>
  <si>
    <t>Senior Manager - Procurement</t>
  </si>
  <si>
    <t>EMP0489</t>
  </si>
  <si>
    <t>grace.eze@company.ng</t>
  </si>
  <si>
    <t>EMP0490</t>
  </si>
  <si>
    <t>bello.okonkwo@company.ng</t>
  </si>
  <si>
    <t>EMP0491</t>
  </si>
  <si>
    <t>emeka.afolabi@outlook.com</t>
  </si>
  <si>
    <t>EMP0492</t>
  </si>
  <si>
    <t>zainab.omole@outlook.com</t>
  </si>
  <si>
    <t>EMP0493</t>
  </si>
  <si>
    <t>esther.adeniji@gmail.com</t>
  </si>
  <si>
    <t>EMP0494</t>
  </si>
  <si>
    <t>salisu.aregbesola@company.ng</t>
  </si>
  <si>
    <t>08002867202</t>
  </si>
  <si>
    <t>EMP0495</t>
  </si>
  <si>
    <t>08069087167</t>
  </si>
  <si>
    <t>EMP0496</t>
  </si>
  <si>
    <t>yemi.obiora@hotmail.com</t>
  </si>
  <si>
    <t>08041209447</t>
  </si>
  <si>
    <t>EMP0497</t>
  </si>
  <si>
    <t>seun.otedola@company.ng</t>
  </si>
  <si>
    <t>Principal Officer - Finance</t>
  </si>
  <si>
    <t>EMP0498</t>
  </si>
  <si>
    <t>ifeoma.nwosu@yahoo.com</t>
  </si>
  <si>
    <t>08035348486</t>
  </si>
  <si>
    <t>EMP0499</t>
  </si>
  <si>
    <t>bello.idris@gmail.com</t>
  </si>
  <si>
    <t>funmi.dangote@hotmail.com</t>
  </si>
  <si>
    <t>EMP0501</t>
  </si>
  <si>
    <t>patience.akande@gmail.com</t>
  </si>
  <si>
    <t>08010824028</t>
  </si>
  <si>
    <t>EMP0502</t>
  </si>
  <si>
    <t>dayo.hassan@hotmail.com</t>
  </si>
  <si>
    <t>08051816125</t>
  </si>
  <si>
    <t>EMP0503</t>
  </si>
  <si>
    <t>EMP0504</t>
  </si>
  <si>
    <t>gbenga.adeleke@company.ng</t>
  </si>
  <si>
    <t>08065622419</t>
  </si>
  <si>
    <t>EMP0505</t>
  </si>
  <si>
    <t>nneka.adewale@outlook.com</t>
  </si>
  <si>
    <t>chioma.balogun@gmail.com</t>
  </si>
  <si>
    <t>08051102125</t>
  </si>
  <si>
    <t>EMP0507</t>
  </si>
  <si>
    <t>blessing.adeniji@yahoo.com</t>
  </si>
  <si>
    <t>EMP0508</t>
  </si>
  <si>
    <t>tunde.adewale@yahoo.com</t>
  </si>
  <si>
    <t>EMP0509</t>
  </si>
  <si>
    <t>chidi.obiora@hotmail.com</t>
  </si>
  <si>
    <t>EMP0510</t>
  </si>
  <si>
    <t>kemi.okonkwo@company.ng</t>
  </si>
  <si>
    <t>EMP0511</t>
  </si>
  <si>
    <t>08050147642</t>
  </si>
  <si>
    <t>victor.nwosu@outlook.com</t>
  </si>
  <si>
    <t>EMP0513</t>
  </si>
  <si>
    <t>gbenga.babatunde@company.ng</t>
  </si>
  <si>
    <t>EMP0514</t>
  </si>
  <si>
    <t>daniel.benue@yahoo.com</t>
  </si>
  <si>
    <t>EMP0515</t>
  </si>
  <si>
    <t>bello.garba@yahoo.com</t>
  </si>
  <si>
    <t>08020222711</t>
  </si>
  <si>
    <t>EMP0516</t>
  </si>
  <si>
    <t>sunday.obiora@gmail.com</t>
  </si>
  <si>
    <t>08014264710</t>
  </si>
  <si>
    <t>EMP0517</t>
  </si>
  <si>
    <t>bola.omole@hotmail.com</t>
  </si>
  <si>
    <t>08006540259</t>
  </si>
  <si>
    <t>EMP0518</t>
  </si>
  <si>
    <t>aisha.ogundele@hotmail.com</t>
  </si>
  <si>
    <t>EMP0519</t>
  </si>
  <si>
    <t>EMP0520</t>
  </si>
  <si>
    <t>salisu.adeyemi@gmail.com</t>
  </si>
  <si>
    <t>EMP0521</t>
  </si>
  <si>
    <t>musa.omole@outlook.com</t>
  </si>
  <si>
    <t>EMP0522</t>
  </si>
  <si>
    <t>john.olawale@hotmail.com</t>
  </si>
  <si>
    <t>EMP0523</t>
  </si>
  <si>
    <t>blessing.akintola@company.ng</t>
  </si>
  <si>
    <t>EMP0524</t>
  </si>
  <si>
    <t>babatunde.okafor@hotmail.com</t>
  </si>
  <si>
    <t>EMP0525</t>
  </si>
  <si>
    <t>samuel.nwosu@yahoo.com</t>
  </si>
  <si>
    <t>EMP0526</t>
  </si>
  <si>
    <t>EMP0527</t>
  </si>
  <si>
    <t>grace.nwosu@company.ng</t>
  </si>
  <si>
    <t>EMP0528</t>
  </si>
  <si>
    <t>fatima.dangote@outlook.com</t>
  </si>
  <si>
    <t>EMP0529</t>
  </si>
  <si>
    <t>bello.garba@outlook.com</t>
  </si>
  <si>
    <t>08064672636</t>
  </si>
  <si>
    <t>EMP0530</t>
  </si>
  <si>
    <t>ngozi.suleiman@company.ng</t>
  </si>
  <si>
    <t>EMP0531</t>
  </si>
  <si>
    <t>emeka.idris@hotmail.com</t>
  </si>
  <si>
    <t>EMP0532</t>
  </si>
  <si>
    <t>sunday.adeniji@yahoo.com</t>
  </si>
  <si>
    <t>EMP0533</t>
  </si>
  <si>
    <t>patience.aregbesola@company.ng</t>
  </si>
  <si>
    <t>EMP0534</t>
  </si>
  <si>
    <t>bello.adeniji@outlook.com</t>
  </si>
  <si>
    <t>EMP0535</t>
  </si>
  <si>
    <t>ngozi.kwara@company.ng</t>
  </si>
  <si>
    <t>EMP0536</t>
  </si>
  <si>
    <t>monday.idris@outlook.com</t>
  </si>
  <si>
    <t>08024253690</t>
  </si>
  <si>
    <t>EMP0537</t>
  </si>
  <si>
    <t>babatunde.hassan@outlook.com</t>
  </si>
  <si>
    <t>08003648821</t>
  </si>
  <si>
    <t>EMP0538</t>
  </si>
  <si>
    <t>daniel.obiora@hotmail.com</t>
  </si>
  <si>
    <t>EMP0539</t>
  </si>
  <si>
    <t>john.akintola@outlook.com</t>
  </si>
  <si>
    <t>EMP0540</t>
  </si>
  <si>
    <t>ngozi.adewale@gmail.com</t>
  </si>
  <si>
    <t>08099865642</t>
  </si>
  <si>
    <t>EMP0541</t>
  </si>
  <si>
    <t>salisu.nwosu@gmail.com</t>
  </si>
  <si>
    <t>EMP0542</t>
  </si>
  <si>
    <t>samuel.adesanya@yahoo.com</t>
  </si>
  <si>
    <t>08002599919</t>
  </si>
  <si>
    <t>EMP0543</t>
  </si>
  <si>
    <t>gbenga.balogun@outlook.com</t>
  </si>
  <si>
    <t>08017328951</t>
  </si>
  <si>
    <t>EMP0544</t>
  </si>
  <si>
    <t>amaka.adewale@company.ng</t>
  </si>
  <si>
    <t>EMP0546</t>
  </si>
  <si>
    <t>toyin.dangote@company.ng</t>
  </si>
  <si>
    <t>EMP0547</t>
  </si>
  <si>
    <t>abdullahi.idris@gmail.com</t>
  </si>
  <si>
    <t>EMP0548</t>
  </si>
  <si>
    <t>sunday.chukwu@yahoo.com</t>
  </si>
  <si>
    <t>08002520945</t>
  </si>
  <si>
    <t>EMP0549</t>
  </si>
  <si>
    <t>victor.adeniji@outlook.com</t>
  </si>
  <si>
    <t>08038118081</t>
  </si>
  <si>
    <t>EMP0550</t>
  </si>
  <si>
    <t>yemi.abdullahi@company.ng</t>
  </si>
  <si>
    <t>08060235158</t>
  </si>
  <si>
    <t>EMP0551</t>
  </si>
  <si>
    <t>adaugo.garba@gmail.com</t>
  </si>
  <si>
    <t>EMP0552</t>
  </si>
  <si>
    <t>EMP0553</t>
  </si>
  <si>
    <t>emmanuel.obiora@yahoo.com</t>
  </si>
  <si>
    <t>EMP0554</t>
  </si>
  <si>
    <t>uche.aliyu@company.ng</t>
  </si>
  <si>
    <t>EMP0555</t>
  </si>
  <si>
    <t>ibrahim.ogunleye@company.ng</t>
  </si>
  <si>
    <t>08020036385</t>
  </si>
  <si>
    <t>EMP0556</t>
  </si>
  <si>
    <t>femi.akande@hotmail.com</t>
  </si>
  <si>
    <t>08032664322</t>
  </si>
  <si>
    <t>EMP0557</t>
  </si>
  <si>
    <t>obinna.olawale@company.ng</t>
  </si>
  <si>
    <t>EMP0558</t>
  </si>
  <si>
    <t>emmanuel.omole@company.ng</t>
  </si>
  <si>
    <t>EMP0559</t>
  </si>
  <si>
    <t>adaeze.idris@outlook.com</t>
  </si>
  <si>
    <t>EMP0560</t>
  </si>
  <si>
    <t>grace.abdullahi@outlook.com</t>
  </si>
  <si>
    <t>EMP0561</t>
  </si>
  <si>
    <t>amaka.hassan@company.ng</t>
  </si>
  <si>
    <t>Lead - Customer</t>
  </si>
  <si>
    <t>EMP0562</t>
  </si>
  <si>
    <t>zainab.suleiman@gmail.com</t>
  </si>
  <si>
    <t>Executive - Procurement</t>
  </si>
  <si>
    <t>EMP0563</t>
  </si>
  <si>
    <t>amaka.adeleke@gmail.com</t>
  </si>
  <si>
    <t>EMP0564</t>
  </si>
  <si>
    <t>EMP0565</t>
  </si>
  <si>
    <t>blessing.adewale@gmail.com</t>
  </si>
  <si>
    <t>08076123961</t>
  </si>
  <si>
    <t>EMP0566</t>
  </si>
  <si>
    <t>EMP0567</t>
  </si>
  <si>
    <t>victor.nwosu@hotmail.com</t>
  </si>
  <si>
    <t>EMP0568</t>
  </si>
  <si>
    <t>victor.omole@outlook.com</t>
  </si>
  <si>
    <t>Executive - Sales</t>
  </si>
  <si>
    <t>EMP0569</t>
  </si>
  <si>
    <t>ruth.kwara@yahoo.com</t>
  </si>
  <si>
    <t>08002915854</t>
  </si>
  <si>
    <t>EMP0570</t>
  </si>
  <si>
    <t>EMP0571</t>
  </si>
  <si>
    <t>musa.suleiman@gmail.com</t>
  </si>
  <si>
    <t>EMP0572</t>
  </si>
  <si>
    <t>blessing.nnamdi@outlook.com</t>
  </si>
  <si>
    <t>08024461440</t>
  </si>
  <si>
    <t>EMP0573</t>
  </si>
  <si>
    <t>toyin.hassan@outlook.com</t>
  </si>
  <si>
    <t>EMP0574</t>
  </si>
  <si>
    <t>EMP0575</t>
  </si>
  <si>
    <t>EMP0576</t>
  </si>
  <si>
    <t>EMP0577</t>
  </si>
  <si>
    <t>paul.aregbesola@yahoo.com</t>
  </si>
  <si>
    <t>08032528613</t>
  </si>
  <si>
    <t>EMP0578</t>
  </si>
  <si>
    <t>james.babatunde@hotmail.com</t>
  </si>
  <si>
    <t>08073561526</t>
  </si>
  <si>
    <t>EMP0579</t>
  </si>
  <si>
    <t>nneka.ogundele@company.ng</t>
  </si>
  <si>
    <t>EMP0580</t>
  </si>
  <si>
    <t>fatima.adeleke@hotmail.com</t>
  </si>
  <si>
    <t>EMP0581</t>
  </si>
  <si>
    <t>bola.olawale@outlook.com</t>
  </si>
  <si>
    <t>EMP0582</t>
  </si>
  <si>
    <t>EMP0583</t>
  </si>
  <si>
    <t>EMP0584</t>
  </si>
  <si>
    <t>EMP0585</t>
  </si>
  <si>
    <t>amaka.akintola@gmail.com</t>
  </si>
  <si>
    <t>EMP0586</t>
  </si>
  <si>
    <t>samuel.fashola@company.ng</t>
  </si>
  <si>
    <t>EMP0587</t>
  </si>
  <si>
    <t>EMP0588</t>
  </si>
  <si>
    <t>babatunde.kwara@gmail.com</t>
  </si>
  <si>
    <t>08084752835</t>
  </si>
  <si>
    <t>EMP0589</t>
  </si>
  <si>
    <t>chidi.akintola@hotmail.com</t>
  </si>
  <si>
    <t>08078302801</t>
  </si>
  <si>
    <t>EMP0590</t>
  </si>
  <si>
    <t>grace.nnamdi@yahoo.com</t>
  </si>
  <si>
    <t>EMP0591</t>
  </si>
  <si>
    <t>ifeoma.hassan@company.ng</t>
  </si>
  <si>
    <t>08073374570</t>
  </si>
  <si>
    <t>EMP0592</t>
  </si>
  <si>
    <t>chioma.ibrahim@hotmail.com</t>
  </si>
  <si>
    <t>EMP0593</t>
  </si>
  <si>
    <t>uche.hassan@yahoo.com</t>
  </si>
  <si>
    <t>08004029662</t>
  </si>
  <si>
    <t>EMP0594</t>
  </si>
  <si>
    <t>babatunde.nwosu@outlook.com</t>
  </si>
  <si>
    <t>08016778145</t>
  </si>
  <si>
    <t>EMP0596</t>
  </si>
  <si>
    <t>yemi.adeyemi@gmail.com</t>
  </si>
  <si>
    <t>Assistant - Logistics</t>
  </si>
  <si>
    <t>EMP0597</t>
  </si>
  <si>
    <t>kemi.akande@yahoo.com</t>
  </si>
  <si>
    <t>EMP0598</t>
  </si>
  <si>
    <t>adaugo.hassan@outlook.com</t>
  </si>
  <si>
    <t>EMP0599</t>
  </si>
  <si>
    <t>EMP0600</t>
  </si>
  <si>
    <t>babatunde.fashola@gmail.com</t>
  </si>
  <si>
    <t>bello.akintola@hotmail.com</t>
  </si>
  <si>
    <t>EMP0602</t>
  </si>
  <si>
    <t>fatima.usman@gmail.com</t>
  </si>
  <si>
    <t>EMP0603</t>
  </si>
  <si>
    <t>toyin.obi@outlook.com</t>
  </si>
  <si>
    <t>EMP0604</t>
  </si>
  <si>
    <t>ibrahim.buhari@hotmail.com</t>
  </si>
  <si>
    <t>EMP0605</t>
  </si>
  <si>
    <t>seun.babatunde@company.ng</t>
  </si>
  <si>
    <t>EMP0606</t>
  </si>
  <si>
    <t>chidi.atiku@yahoo.com</t>
  </si>
  <si>
    <t>EMP0607</t>
  </si>
  <si>
    <t>aisha.ogunleye@company.ng</t>
  </si>
  <si>
    <t>EMP0608</t>
  </si>
  <si>
    <t>EMP0609</t>
  </si>
  <si>
    <t>seun.suleiman@company.ng</t>
  </si>
  <si>
    <t>EMP0610</t>
  </si>
  <si>
    <t>sunday.adeyemi@yahoo.com</t>
  </si>
  <si>
    <t>EMP0611</t>
  </si>
  <si>
    <t>EMP0612</t>
  </si>
  <si>
    <t>blessing.adewale@hotmail.com</t>
  </si>
  <si>
    <t>08042189142</t>
  </si>
  <si>
    <t>EMP0613</t>
  </si>
  <si>
    <t>babatunde.adeyemi@yahoo.com</t>
  </si>
  <si>
    <t>08066678809</t>
  </si>
  <si>
    <t>EMP0614</t>
  </si>
  <si>
    <t>EMP0615</t>
  </si>
  <si>
    <t>bello.omole@gmail.com</t>
  </si>
  <si>
    <t>EMP0616</t>
  </si>
  <si>
    <t>ngozi.olawale@yahoo.com</t>
  </si>
  <si>
    <t>EMP0617</t>
  </si>
  <si>
    <t>hauwa.obi@company.ng</t>
  </si>
  <si>
    <t>EMP0618</t>
  </si>
  <si>
    <t>babatunde.adeyemi@company.ng</t>
  </si>
  <si>
    <t>EMP0619</t>
  </si>
  <si>
    <t>victor.okafor@gmail.com</t>
  </si>
  <si>
    <t>EMP0620</t>
  </si>
  <si>
    <t>abdullahi.nnamdi@outlook.com</t>
  </si>
  <si>
    <t>EMP0622</t>
  </si>
  <si>
    <t>john.buhari@yahoo.com</t>
  </si>
  <si>
    <t>EMP0623</t>
  </si>
  <si>
    <t>grace.lawal@gmail.com</t>
  </si>
  <si>
    <t>EMP0624</t>
  </si>
  <si>
    <t>yakubu.akintola@gmail.com</t>
  </si>
  <si>
    <t>08074599153</t>
  </si>
  <si>
    <t>EMP0625</t>
  </si>
  <si>
    <t>john.adewale@yahoo.com</t>
  </si>
  <si>
    <t>08036881013</t>
  </si>
  <si>
    <t>EMP0626</t>
  </si>
  <si>
    <t>bello.chukwu@company.ng</t>
  </si>
  <si>
    <t>08036907894</t>
  </si>
  <si>
    <t>EMP0627</t>
  </si>
  <si>
    <t>oluwaseun.okonkwo@company.ng</t>
  </si>
  <si>
    <t>EMP0628</t>
  </si>
  <si>
    <t>seun.obi@yahoo.com</t>
  </si>
  <si>
    <t>08034614466</t>
  </si>
  <si>
    <t>EMP0629</t>
  </si>
  <si>
    <t>adaugo.ibrahim@hotmail.com</t>
  </si>
  <si>
    <t>08083004837</t>
  </si>
  <si>
    <t>EMP0630</t>
  </si>
  <si>
    <t>08018179607</t>
  </si>
  <si>
    <t>EMP0631</t>
  </si>
  <si>
    <t>salisu.kwara@outlook.com</t>
  </si>
  <si>
    <t>08063163129</t>
  </si>
  <si>
    <t>EMP0632</t>
  </si>
  <si>
    <t>obinna.benue@outlook.com</t>
  </si>
  <si>
    <t>EMP0633</t>
  </si>
  <si>
    <t>EMP0634</t>
  </si>
  <si>
    <t>femi.ibrahim@company.ng</t>
  </si>
  <si>
    <t>EMP0635</t>
  </si>
  <si>
    <t>grace.ogunleye@outlook.com</t>
  </si>
  <si>
    <t>08002422241</t>
  </si>
  <si>
    <t>EMP0637</t>
  </si>
  <si>
    <t>EMP0638</t>
  </si>
  <si>
    <t>nneka.afolabi@outlook.com</t>
  </si>
  <si>
    <t>EMP0639</t>
  </si>
  <si>
    <t>grace.lawal@hotmail.com</t>
  </si>
  <si>
    <t>EMP0640</t>
  </si>
  <si>
    <t>ngozi.afolabi@hotmail.com</t>
  </si>
  <si>
    <t>EMP0641</t>
  </si>
  <si>
    <t>gbenga.adeyemi@hotmail.com</t>
  </si>
  <si>
    <t>EMP0642</t>
  </si>
  <si>
    <t>james.aliyu@yahoo.com</t>
  </si>
  <si>
    <t>EMP0643</t>
  </si>
  <si>
    <t>EMP0644</t>
  </si>
  <si>
    <t>abdullahi.garba@outlook.com</t>
  </si>
  <si>
    <t>EMP0645</t>
  </si>
  <si>
    <t>grace.adeniji@outlook.com</t>
  </si>
  <si>
    <t>08065823445</t>
  </si>
  <si>
    <t>EMP0646</t>
  </si>
  <si>
    <t>james.kwara@gmail.com</t>
  </si>
  <si>
    <t>EMP0647</t>
  </si>
  <si>
    <t>monday.adeniji@yahoo.com</t>
  </si>
  <si>
    <t>EMP0648</t>
  </si>
  <si>
    <t>ifeoma.abdullahi@yahoo.com</t>
  </si>
  <si>
    <t>08038735186</t>
  </si>
  <si>
    <t>EMP0649</t>
  </si>
  <si>
    <t>08084128655</t>
  </si>
  <si>
    <t>EMP0650</t>
  </si>
  <si>
    <t>monday.obiora@gmail.com</t>
  </si>
  <si>
    <t>08091218527</t>
  </si>
  <si>
    <t>EMP0651</t>
  </si>
  <si>
    <t>fatima.lawal@company.ng</t>
  </si>
  <si>
    <t>08034541829</t>
  </si>
  <si>
    <t>EMP0652</t>
  </si>
  <si>
    <t>victor.olawale@hotmail.com</t>
  </si>
  <si>
    <t>EMP0653</t>
  </si>
  <si>
    <t>EMP0654</t>
  </si>
  <si>
    <t>hauwa.adeniji@outlook.com</t>
  </si>
  <si>
    <t>08056238878</t>
  </si>
  <si>
    <t>EMP0655</t>
  </si>
  <si>
    <t>nneka.ogunleye@yahoo.com</t>
  </si>
  <si>
    <t>EMP0656</t>
  </si>
  <si>
    <t>abdullahi.okafor@company.ng</t>
  </si>
  <si>
    <t>08056292582</t>
  </si>
  <si>
    <t>EMP0657</t>
  </si>
  <si>
    <t>blessing.nnamdi@gmail.com</t>
  </si>
  <si>
    <t>08035317555</t>
  </si>
  <si>
    <t>EMP0658</t>
  </si>
  <si>
    <t>grace.afolabi@gmail.com</t>
  </si>
  <si>
    <t>EMP0659</t>
  </si>
  <si>
    <t>adaugo.afolabi@hotmail.com</t>
  </si>
  <si>
    <t>EMP0660</t>
  </si>
  <si>
    <t>esther.olawale@gmail.com</t>
  </si>
  <si>
    <t>EMP0661</t>
  </si>
  <si>
    <t>zainab.ekiti@outlook.com</t>
  </si>
  <si>
    <t>EMP0662</t>
  </si>
  <si>
    <t>john.ibrahim@yahoo.com</t>
  </si>
  <si>
    <t>EMP0663</t>
  </si>
  <si>
    <t>EMP0664</t>
  </si>
  <si>
    <t>emeka.nwachukwu@yahoo.com</t>
  </si>
  <si>
    <t>EMP0665</t>
  </si>
  <si>
    <t>ngozi.obi@gmail.com</t>
  </si>
  <si>
    <t>EMP0666</t>
  </si>
  <si>
    <t>monday.afolabi@gmail.com</t>
  </si>
  <si>
    <t>EMP0667</t>
  </si>
  <si>
    <t>chidi.kwara@hotmail.com</t>
  </si>
  <si>
    <t>08026082526</t>
  </si>
  <si>
    <t>EMP0668</t>
  </si>
  <si>
    <t>sunday.fashola@outlook.com</t>
  </si>
  <si>
    <t>08046532554</t>
  </si>
  <si>
    <t>EMP0669</t>
  </si>
  <si>
    <t>EMP0670</t>
  </si>
  <si>
    <t>zainab.afolabi@gmail.com</t>
  </si>
  <si>
    <t>EMP0671</t>
  </si>
  <si>
    <t>peter.fashola@gmail.com</t>
  </si>
  <si>
    <t>EMP0672</t>
  </si>
  <si>
    <t>oluwaseun.usman@hotmail.com</t>
  </si>
  <si>
    <t>EMP0673</t>
  </si>
  <si>
    <t>zainab.otedola@company.ng</t>
  </si>
  <si>
    <t>EMP0674</t>
  </si>
  <si>
    <t>EMP0675</t>
  </si>
  <si>
    <t>uche.adesanya@company.ng</t>
  </si>
  <si>
    <t>EMP0676</t>
  </si>
  <si>
    <t>chidi.akintola@company.ng</t>
  </si>
  <si>
    <t>EMP0677</t>
  </si>
  <si>
    <t>blessing.akande@outlook.com</t>
  </si>
  <si>
    <t>EMP0678</t>
  </si>
  <si>
    <t>hauwa.musa@hotmail.com</t>
  </si>
  <si>
    <t>EMP0679</t>
  </si>
  <si>
    <t>chioma.nwosu@gmail.com</t>
  </si>
  <si>
    <t>EMP0680</t>
  </si>
  <si>
    <t>salisu.dangote@company.ng</t>
  </si>
  <si>
    <t>EMP0681</t>
  </si>
  <si>
    <t>adaeze.nnamdi@yahoo.com</t>
  </si>
  <si>
    <t>EMP0682</t>
  </si>
  <si>
    <t>EMP0683</t>
  </si>
  <si>
    <t>yakubu.abdullahi@yahoo.com</t>
  </si>
  <si>
    <t>EMP0684</t>
  </si>
  <si>
    <t>adaugo.lawal@gmail.com</t>
  </si>
  <si>
    <t>EMP0685</t>
  </si>
  <si>
    <t>emeka.nnamdi@gmail.com</t>
  </si>
  <si>
    <t>EMP0686</t>
  </si>
  <si>
    <t>james.ekiti@yahoo.com</t>
  </si>
  <si>
    <t>EMP0687</t>
  </si>
  <si>
    <t>samuel.aliyu@company.ng</t>
  </si>
  <si>
    <t>EMP0688</t>
  </si>
  <si>
    <t>emmanuel.adewale@company.ng</t>
  </si>
  <si>
    <t>EMP0689</t>
  </si>
  <si>
    <t>toyin.ogundele@yahoo.com</t>
  </si>
  <si>
    <t>08053807819</t>
  </si>
  <si>
    <t>EMP0690</t>
  </si>
  <si>
    <t>EMP0691</t>
  </si>
  <si>
    <t>uche.afolabi@hotmail.com</t>
  </si>
  <si>
    <t>08018930461</t>
  </si>
  <si>
    <t>EMP0692</t>
  </si>
  <si>
    <t>kemi.fashola@outlook.com</t>
  </si>
  <si>
    <t>EMP0693</t>
  </si>
  <si>
    <t>ibrahim.idris@company.ng</t>
  </si>
  <si>
    <t>EMP0694</t>
  </si>
  <si>
    <t>ngozi.kogi@company.ng</t>
  </si>
  <si>
    <t>chidi.obi@outlook.com</t>
  </si>
  <si>
    <t>08029493074</t>
  </si>
  <si>
    <t>EMP0696</t>
  </si>
  <si>
    <t>emeka.lawal@hotmail.com</t>
  </si>
  <si>
    <t>EMP0697</t>
  </si>
  <si>
    <t>ifeoma.abdullahi@company.ng</t>
  </si>
  <si>
    <t>EMP0698</t>
  </si>
  <si>
    <t>bola.adeleke@hotmail.com</t>
  </si>
  <si>
    <t>08024768834</t>
  </si>
  <si>
    <t>EMP0699</t>
  </si>
  <si>
    <t>EMP0700</t>
  </si>
  <si>
    <t>victor.ogundele@gmail.com</t>
  </si>
  <si>
    <t>EMP0701</t>
  </si>
  <si>
    <t>yakubu.okafor@gmail.com</t>
  </si>
  <si>
    <t>08017737594</t>
  </si>
  <si>
    <t>EMP0702</t>
  </si>
  <si>
    <t>dayo.nnamdi@yahoo.com</t>
  </si>
  <si>
    <t>EMP0703</t>
  </si>
  <si>
    <t>hauwa.fashola@yahoo.com</t>
  </si>
  <si>
    <t>EMP0704</t>
  </si>
  <si>
    <t>sunday.dangote@hotmail.com</t>
  </si>
  <si>
    <t>EMP0705</t>
  </si>
  <si>
    <t>EMP0706</t>
  </si>
  <si>
    <t>08088220631</t>
  </si>
  <si>
    <t>EMP0707</t>
  </si>
  <si>
    <t>dayo.nnamdi@outlook.com</t>
  </si>
  <si>
    <t>EMP0709</t>
  </si>
  <si>
    <t>EMP0710</t>
  </si>
  <si>
    <t>EMP0711</t>
  </si>
  <si>
    <t>grace.benue@outlook.com</t>
  </si>
  <si>
    <t>EMP0712</t>
  </si>
  <si>
    <t>08009166316</t>
  </si>
  <si>
    <t>EMP0713</t>
  </si>
  <si>
    <t>peter.ekiti@hotmail.com</t>
  </si>
  <si>
    <t>EMP0714</t>
  </si>
  <si>
    <t>sade.hassan@outlook.com</t>
  </si>
  <si>
    <t>EMP0715</t>
  </si>
  <si>
    <t>ifeoma.olawale@outlook.com</t>
  </si>
  <si>
    <t>EMP0716</t>
  </si>
  <si>
    <t>08096008347</t>
  </si>
  <si>
    <t>EMP0717</t>
  </si>
  <si>
    <t>esther.ogundele@yahoo.com</t>
  </si>
  <si>
    <t>EMP0718</t>
  </si>
  <si>
    <t>obinna.akintola@hotmail.com</t>
  </si>
  <si>
    <t>08016043598</t>
  </si>
  <si>
    <t>EMP0719</t>
  </si>
  <si>
    <t>amaka.abdullahi@company.ng</t>
  </si>
  <si>
    <t>EMP0721</t>
  </si>
  <si>
    <t>musa.chukwu@gmail.com</t>
  </si>
  <si>
    <t>EMP0722</t>
  </si>
  <si>
    <t>salisu.akande@hotmail.com</t>
  </si>
  <si>
    <t>08004600823</t>
  </si>
  <si>
    <t>EMP0723</t>
  </si>
  <si>
    <t>08097216218</t>
  </si>
  <si>
    <t>EMP0724</t>
  </si>
  <si>
    <t>dayo.ekiti@hotmail.com</t>
  </si>
  <si>
    <t>08057887282</t>
  </si>
  <si>
    <t>EMP0725</t>
  </si>
  <si>
    <t>ngozi.ekiti@company.ng</t>
  </si>
  <si>
    <t>08060566880</t>
  </si>
  <si>
    <t>EMP0727</t>
  </si>
  <si>
    <t>ngozi.okonkwo@gmail.com</t>
  </si>
  <si>
    <t>emmanuel.ogunleye@yahoo.com</t>
  </si>
  <si>
    <t>daniel.kogi@gmail.com</t>
  </si>
  <si>
    <t>Lead - Logistics</t>
  </si>
  <si>
    <t>EMP0730</t>
  </si>
  <si>
    <t>bello.abdullahi@hotmail.com</t>
  </si>
  <si>
    <t>EMP0731</t>
  </si>
  <si>
    <t>hauwa.aregbesola@hotmail.com</t>
  </si>
  <si>
    <t>EMP0732</t>
  </si>
  <si>
    <t>tunde.suleiman@outlook.com</t>
  </si>
  <si>
    <t>hauwa.garba@hotmail.com</t>
  </si>
  <si>
    <t>EMP0734</t>
  </si>
  <si>
    <t>yemi.benue@outlook.com</t>
  </si>
  <si>
    <t>EMP0735</t>
  </si>
  <si>
    <t>salisu.obiora@hotmail.com</t>
  </si>
  <si>
    <t>EMP0736</t>
  </si>
  <si>
    <t>salisu.tinubu@yahoo.com</t>
  </si>
  <si>
    <t>EMP0737</t>
  </si>
  <si>
    <t>hauwa.ogunleye@hotmail.com</t>
  </si>
  <si>
    <t>EMP0738</t>
  </si>
  <si>
    <t>ngozi.abdullahi@company.ng</t>
  </si>
  <si>
    <t>EMP0739</t>
  </si>
  <si>
    <t>chioma.aregbesola@company.ng</t>
  </si>
  <si>
    <t>ibrahim.dangote@outlook.com</t>
  </si>
  <si>
    <t>EMP0741</t>
  </si>
  <si>
    <t>sade.benue@outlook.com</t>
  </si>
  <si>
    <t>EMP0742</t>
  </si>
  <si>
    <t>amaka.nwosu@hotmail.com</t>
  </si>
  <si>
    <t>08024035321</t>
  </si>
  <si>
    <t>EMP0743</t>
  </si>
  <si>
    <t>adaeze.adeyemi@yahoo.com</t>
  </si>
  <si>
    <t>EMP0744</t>
  </si>
  <si>
    <t>obinna.aregbesola@hotmail.com</t>
  </si>
  <si>
    <t>08002989088</t>
  </si>
  <si>
    <t>EMP0745</t>
  </si>
  <si>
    <t>EMP0746</t>
  </si>
  <si>
    <t>samuel.babatunde@company.ng</t>
  </si>
  <si>
    <t>EMP0747</t>
  </si>
  <si>
    <t>ngozi.adeniji@yahoo.com</t>
  </si>
  <si>
    <t>EMP0748</t>
  </si>
  <si>
    <t>bola.otedola@hotmail.com</t>
  </si>
  <si>
    <t>EMP0749</t>
  </si>
  <si>
    <t>emeka.chukwu@gmail.com</t>
  </si>
  <si>
    <t>EMP0750</t>
  </si>
  <si>
    <t>james.garba@outlook.com</t>
  </si>
  <si>
    <t>EMP0751</t>
  </si>
  <si>
    <t>adaeze.adeniji@gmail.com</t>
  </si>
  <si>
    <t>EMP0752</t>
  </si>
  <si>
    <t>monday.hassan@company.ng</t>
  </si>
  <si>
    <t>EMP0753</t>
  </si>
  <si>
    <t>EMP0754</t>
  </si>
  <si>
    <t>daniel.fashola@company.ng</t>
  </si>
  <si>
    <t>EMP0755</t>
  </si>
  <si>
    <t>hauwa.aliyu@hotmail.com</t>
  </si>
  <si>
    <t>08085237748</t>
  </si>
  <si>
    <t>EMP0756</t>
  </si>
  <si>
    <t>kemi.atiku@outlook.com</t>
  </si>
  <si>
    <t>EMP0757</t>
  </si>
  <si>
    <t>james.nwosu@company.ng</t>
  </si>
  <si>
    <t>08074876296</t>
  </si>
  <si>
    <t>yemi.nwachukwu@company.ng</t>
  </si>
  <si>
    <t>EMP0759</t>
  </si>
  <si>
    <t>ngozi.eze@company.ng</t>
  </si>
  <si>
    <t>08063342285</t>
  </si>
  <si>
    <t>EMP0760</t>
  </si>
  <si>
    <t>samuel.adewale@yahoo.com</t>
  </si>
  <si>
    <t>EMP0761</t>
  </si>
  <si>
    <t>ifeoma.benue@yahoo.com</t>
  </si>
  <si>
    <t>08064053273</t>
  </si>
  <si>
    <t>EMP0763</t>
  </si>
  <si>
    <t>emmanuel.omole@hotmail.com</t>
  </si>
  <si>
    <t>EMP0764</t>
  </si>
  <si>
    <t>peter.adewale@company.ng</t>
  </si>
  <si>
    <t>08001910904</t>
  </si>
  <si>
    <t>EMP0765</t>
  </si>
  <si>
    <t>daniel.adeyemi@hotmail.com</t>
  </si>
  <si>
    <t>EMP0766</t>
  </si>
  <si>
    <t>aisha.omole@hotmail.com</t>
  </si>
  <si>
    <t>EMP0767</t>
  </si>
  <si>
    <t>tunde.okafor@gmail.com</t>
  </si>
  <si>
    <t>EMP0768</t>
  </si>
  <si>
    <t>emeka.abdullahi@company.ng</t>
  </si>
  <si>
    <t>EMP0769</t>
  </si>
  <si>
    <t>ifeanyi.ogundele@hotmail.com</t>
  </si>
  <si>
    <t>08039687186</t>
  </si>
  <si>
    <t>nneka.otedola@yahoo.com</t>
  </si>
  <si>
    <t>EMP0771</t>
  </si>
  <si>
    <t>blessing.akintola@hotmail.com</t>
  </si>
  <si>
    <t>08093302559</t>
  </si>
  <si>
    <t>EMP0772</t>
  </si>
  <si>
    <t>funmi.balogun@gmail.com</t>
  </si>
  <si>
    <t>EMP0773</t>
  </si>
  <si>
    <t>emmanuel.aregbesola@outlook.com</t>
  </si>
  <si>
    <t>08014290495</t>
  </si>
  <si>
    <t>EMP0774</t>
  </si>
  <si>
    <t>bello.ibrahim@gmail.com</t>
  </si>
  <si>
    <t>08016628660</t>
  </si>
  <si>
    <t>EMP0775</t>
  </si>
  <si>
    <t>amaka.okonkwo@company.ng</t>
  </si>
  <si>
    <t>08000858949</t>
  </si>
  <si>
    <t>EMP0776</t>
  </si>
  <si>
    <t>ruth.chukwu@outlook.com</t>
  </si>
  <si>
    <t>08014087834</t>
  </si>
  <si>
    <t>EMP0777</t>
  </si>
  <si>
    <t>emeka.kogi@hotmail.com</t>
  </si>
  <si>
    <t>EMP0778</t>
  </si>
  <si>
    <t>blessing.adeyemi@company.ng</t>
  </si>
  <si>
    <t>EMP0779</t>
  </si>
  <si>
    <t>musa.olawale@gmail.com</t>
  </si>
  <si>
    <t>08006144529</t>
  </si>
  <si>
    <t>EMP0780</t>
  </si>
  <si>
    <t>james.nwosu@hotmail.com</t>
  </si>
  <si>
    <t>EMP0781</t>
  </si>
  <si>
    <t>blessing.nwosu@company.ng</t>
  </si>
  <si>
    <t>EMP0782</t>
  </si>
  <si>
    <t>zainab.dangote@yahoo.com</t>
  </si>
  <si>
    <t>EMP0783</t>
  </si>
  <si>
    <t>adaugo.aliyu@outlook.com</t>
  </si>
  <si>
    <t>EMP0784</t>
  </si>
  <si>
    <t>tunde.adewale@hotmail.com</t>
  </si>
  <si>
    <t>EMP0785</t>
  </si>
  <si>
    <t>EMP0786</t>
  </si>
  <si>
    <t>zainab.adeleke@gmail.com</t>
  </si>
  <si>
    <t>08015491773</t>
  </si>
  <si>
    <t>EMP0787</t>
  </si>
  <si>
    <t>sunday.suleiman@yahoo.com</t>
  </si>
  <si>
    <t>EMP0788</t>
  </si>
  <si>
    <t>abdullahi.adesanya@outlook.com</t>
  </si>
  <si>
    <t>EMP0789</t>
  </si>
  <si>
    <t>amaka.eze@outlook.com</t>
  </si>
  <si>
    <t>adaeze.otedola@company.ng</t>
  </si>
  <si>
    <t>EMP0791</t>
  </si>
  <si>
    <t>emmanuel.obiora@company.ng</t>
  </si>
  <si>
    <t>victor.ogundele@hotmail.com</t>
  </si>
  <si>
    <t>EMP0793</t>
  </si>
  <si>
    <t>femi.aliyu@gmail.com</t>
  </si>
  <si>
    <t>EMP0794</t>
  </si>
  <si>
    <t>obinna.aliyu@hotmail.com</t>
  </si>
  <si>
    <t>EMP0795</t>
  </si>
  <si>
    <t>babatunde.abdullahi@yahoo.com</t>
  </si>
  <si>
    <t>EMP0796</t>
  </si>
  <si>
    <t>sunday.nwosu@outlook.com</t>
  </si>
  <si>
    <t>EMP0797</t>
  </si>
  <si>
    <t>hauwa.balogun@company.ng</t>
  </si>
  <si>
    <t>08077459254</t>
  </si>
  <si>
    <t>EMP0798</t>
  </si>
  <si>
    <t>EMP0799</t>
  </si>
  <si>
    <t>uche.lawal@outlook.com</t>
  </si>
  <si>
    <t>EMP0800</t>
  </si>
  <si>
    <t>obinna.okonkwo@hotmail.com</t>
  </si>
  <si>
    <t>08031608988</t>
  </si>
  <si>
    <t>EMP0801</t>
  </si>
  <si>
    <t>chioma.okafor@outlook.com</t>
  </si>
  <si>
    <t>EMP0802</t>
  </si>
  <si>
    <t>abdullahi.akande@company.ng</t>
  </si>
  <si>
    <t>EMP0803</t>
  </si>
  <si>
    <t>EMP0804</t>
  </si>
  <si>
    <t>emmanuel.ibrahim@hotmail.com</t>
  </si>
  <si>
    <t>EMP0805</t>
  </si>
  <si>
    <t>adaeze.aliyu@gmail.com</t>
  </si>
  <si>
    <t>EMP0806</t>
  </si>
  <si>
    <t>paul.fashola@outlook.com</t>
  </si>
  <si>
    <t>08096599052</t>
  </si>
  <si>
    <t>EMP0807</t>
  </si>
  <si>
    <t>seun.ogundele@company.ng</t>
  </si>
  <si>
    <t>zainab.eze@hotmail.com</t>
  </si>
  <si>
    <t>EMP0809</t>
  </si>
  <si>
    <t>adaeze.omole@company.ng</t>
  </si>
  <si>
    <t>EMP0810</t>
  </si>
  <si>
    <t>EMP0811</t>
  </si>
  <si>
    <t>patience.aliyu@company.ng</t>
  </si>
  <si>
    <t>EMP0812</t>
  </si>
  <si>
    <t>chidi.ogunleye@yahoo.com</t>
  </si>
  <si>
    <t>EMP0813</t>
  </si>
  <si>
    <t>daniel.kwara@yahoo.com</t>
  </si>
  <si>
    <t>08068211956</t>
  </si>
  <si>
    <t>yakubu.suleiman@company.ng</t>
  </si>
  <si>
    <t>08074867358</t>
  </si>
  <si>
    <t>EMP0815</t>
  </si>
  <si>
    <t>EMP0816</t>
  </si>
  <si>
    <t>femi.ogunleye@outlook.com</t>
  </si>
  <si>
    <t>EMP0817</t>
  </si>
  <si>
    <t>john.adeniji@hotmail.com</t>
  </si>
  <si>
    <t>EMP0819</t>
  </si>
  <si>
    <t>emeka.obi@yahoo.com</t>
  </si>
  <si>
    <t>EMP0820</t>
  </si>
  <si>
    <t>EMP0821</t>
  </si>
  <si>
    <t>bello.musa@company.ng</t>
  </si>
  <si>
    <t>08091578290</t>
  </si>
  <si>
    <t>EMP0822</t>
  </si>
  <si>
    <t>EMP0823</t>
  </si>
  <si>
    <t>gbenga.obi@hotmail.com</t>
  </si>
  <si>
    <t>EMP0824</t>
  </si>
  <si>
    <t>emeka.omole@hotmail.com</t>
  </si>
  <si>
    <t>EMP0934</t>
  </si>
  <si>
    <t>08041839955</t>
  </si>
  <si>
    <t>EMP0825</t>
  </si>
  <si>
    <t>babatunde.suleiman@company.ng</t>
  </si>
  <si>
    <t>08039852381</t>
  </si>
  <si>
    <t>EMP0826</t>
  </si>
  <si>
    <t>sade.balogun@yahoo.com</t>
  </si>
  <si>
    <t>EMP0827</t>
  </si>
  <si>
    <t>EMP0828</t>
  </si>
  <si>
    <t>kemi.nwachukwu@gmail.com</t>
  </si>
  <si>
    <t>EMP0829</t>
  </si>
  <si>
    <t>EMP0830</t>
  </si>
  <si>
    <t>ifeanyi.obiora@yahoo.com</t>
  </si>
  <si>
    <t>08004347433</t>
  </si>
  <si>
    <t>EMP0831</t>
  </si>
  <si>
    <t>dayo.akande@gmail.com</t>
  </si>
  <si>
    <t>08089898787</t>
  </si>
  <si>
    <t>EMP0832</t>
  </si>
  <si>
    <t>hauwa.afolabi@hotmail.com</t>
  </si>
  <si>
    <t>EMP0833</t>
  </si>
  <si>
    <t>fatima.nnamdi@gmail.com</t>
  </si>
  <si>
    <t>08053784205</t>
  </si>
  <si>
    <t>EMP0834</t>
  </si>
  <si>
    <t>seun.nwosu@hotmail.com</t>
  </si>
  <si>
    <t>EMP0835</t>
  </si>
  <si>
    <t>fatima.ogunleye@yahoo.com</t>
  </si>
  <si>
    <t>EMP0836</t>
  </si>
  <si>
    <t>patience.adesanya@gmail.com</t>
  </si>
  <si>
    <t>EMP0837</t>
  </si>
  <si>
    <t>EMP0838</t>
  </si>
  <si>
    <t>EMP0839</t>
  </si>
  <si>
    <t>emeka.fashola@outlook.com</t>
  </si>
  <si>
    <t>08025247777</t>
  </si>
  <si>
    <t>EMP0840</t>
  </si>
  <si>
    <t>blessing.hassan@outlook.com</t>
  </si>
  <si>
    <t>EMP0841</t>
  </si>
  <si>
    <t>samuel.nnamdi@yahoo.com</t>
  </si>
  <si>
    <t>EMP0842</t>
  </si>
  <si>
    <t>bello.nnamdi@company.ng</t>
  </si>
  <si>
    <t>08027617640</t>
  </si>
  <si>
    <t>EMP0843</t>
  </si>
  <si>
    <t>obinna.buhari@yahoo.com</t>
  </si>
  <si>
    <t>EMP0844</t>
  </si>
  <si>
    <t>abdullahi.balogun@hotmail.com</t>
  </si>
  <si>
    <t>08031873095</t>
  </si>
  <si>
    <t>EMP0845</t>
  </si>
  <si>
    <t>08012189452</t>
  </si>
  <si>
    <t>EMP0846</t>
  </si>
  <si>
    <t>EMP0847</t>
  </si>
  <si>
    <t>08046217643</t>
  </si>
  <si>
    <t>EMP0848</t>
  </si>
  <si>
    <t>grace.balogun@gmail.com</t>
  </si>
  <si>
    <t>08087939789</t>
  </si>
  <si>
    <t>EMP0849</t>
  </si>
  <si>
    <t>EMP0850</t>
  </si>
  <si>
    <t>08013653298</t>
  </si>
  <si>
    <t>EMP0851</t>
  </si>
  <si>
    <t>funmi.kwara@company.ng</t>
  </si>
  <si>
    <t>EMP0852</t>
  </si>
  <si>
    <t>ruth.garba@hotmail.com</t>
  </si>
  <si>
    <t>EMP0853</t>
  </si>
  <si>
    <t>EMP0854</t>
  </si>
  <si>
    <t>kemi.adesanya@hotmail.com</t>
  </si>
  <si>
    <t>EMP0855</t>
  </si>
  <si>
    <t>ngozi.ogundele@outlook.com</t>
  </si>
  <si>
    <t>08052961514</t>
  </si>
  <si>
    <t>EMP0856</t>
  </si>
  <si>
    <t>patience.hassan@company.ng</t>
  </si>
  <si>
    <t>EMP0857</t>
  </si>
  <si>
    <t>yemi.ekiti@yahoo.com</t>
  </si>
  <si>
    <t>EMP0858</t>
  </si>
  <si>
    <t>EMP0859</t>
  </si>
  <si>
    <t>ngozi.aregbesola@yahoo.com</t>
  </si>
  <si>
    <t>EMP0860</t>
  </si>
  <si>
    <t>yemi.balogun@hotmail.com</t>
  </si>
  <si>
    <t>EMP0861</t>
  </si>
  <si>
    <t>funmi.okonkwo@gmail.com</t>
  </si>
  <si>
    <t>EMP0862</t>
  </si>
  <si>
    <t>aisha.atiku@gmail.com</t>
  </si>
  <si>
    <t>EMP0863</t>
  </si>
  <si>
    <t>fatima.buhari@company.ng</t>
  </si>
  <si>
    <t>EMP0864</t>
  </si>
  <si>
    <t>yemi.ibrahim@yahoo.com</t>
  </si>
  <si>
    <t>08037660414</t>
  </si>
  <si>
    <t>EMP0865</t>
  </si>
  <si>
    <t>ifeoma.otedola@hotmail.com</t>
  </si>
  <si>
    <t>EMP0866</t>
  </si>
  <si>
    <t>08026692325</t>
  </si>
  <si>
    <t>EMP0867</t>
  </si>
  <si>
    <t>ifeoma.akande@company.ng</t>
  </si>
  <si>
    <t>EMP0868</t>
  </si>
  <si>
    <t>musa.adeniji@yahoo.com</t>
  </si>
  <si>
    <t>08077939801</t>
  </si>
  <si>
    <t>EMP0869</t>
  </si>
  <si>
    <t>obinna.fashola@yahoo.com</t>
  </si>
  <si>
    <t>EMP0870</t>
  </si>
  <si>
    <t>EMP0871</t>
  </si>
  <si>
    <t>yemi.kogi@yahoo.com</t>
  </si>
  <si>
    <t>08013116795</t>
  </si>
  <si>
    <t>EMP0872</t>
  </si>
  <si>
    <t>aisha.nnamdi@outlook.com</t>
  </si>
  <si>
    <t>EMP0873</t>
  </si>
  <si>
    <t>aisha.ogundele@gmail.com</t>
  </si>
  <si>
    <t>EMP0874</t>
  </si>
  <si>
    <t>EMP0875</t>
  </si>
  <si>
    <t>esther.afolabi@outlook.com</t>
  </si>
  <si>
    <t>EMP0876</t>
  </si>
  <si>
    <t>kemi.eze@company.ng</t>
  </si>
  <si>
    <t>EMP0877</t>
  </si>
  <si>
    <t>EMP0878</t>
  </si>
  <si>
    <t>musa.adesanya@outlook.com</t>
  </si>
  <si>
    <t>08055143442</t>
  </si>
  <si>
    <t>EMP0879</t>
  </si>
  <si>
    <t>nneka.fashola@hotmail.com</t>
  </si>
  <si>
    <t>EMP0880</t>
  </si>
  <si>
    <t>femi.ibrahim@yahoo.com</t>
  </si>
  <si>
    <t>EMP0881</t>
  </si>
  <si>
    <t>john.usman@yahoo.com</t>
  </si>
  <si>
    <t>08031600402</t>
  </si>
  <si>
    <t>EMP0882</t>
  </si>
  <si>
    <t>victor.omole@yahoo.com</t>
  </si>
  <si>
    <t>EMP0883</t>
  </si>
  <si>
    <t>zainab.kwara@gmail.com</t>
  </si>
  <si>
    <t>EMP0884</t>
  </si>
  <si>
    <t>EMP0885</t>
  </si>
  <si>
    <t>blessing.hassan@company.ng</t>
  </si>
  <si>
    <t>EMP0886</t>
  </si>
  <si>
    <t>funmi.olawale@hotmail.com</t>
  </si>
  <si>
    <t>EMP0887</t>
  </si>
  <si>
    <t>08033085441</t>
  </si>
  <si>
    <t>EMP0888</t>
  </si>
  <si>
    <t>yakubu.babatunde@gmail.com</t>
  </si>
  <si>
    <t>EMP0889</t>
  </si>
  <si>
    <t>08041514487</t>
  </si>
  <si>
    <t>EMP0890</t>
  </si>
  <si>
    <t>john.lawal@outlook.com</t>
  </si>
  <si>
    <t>EMP0891</t>
  </si>
  <si>
    <t>paul.buhari@hotmail.com</t>
  </si>
  <si>
    <t>emeka.kogi@gmail.com</t>
  </si>
  <si>
    <t>08064575275</t>
  </si>
  <si>
    <t>EMP0893</t>
  </si>
  <si>
    <t>emmanuel.afolabi@yahoo.com</t>
  </si>
  <si>
    <t>EMP0894</t>
  </si>
  <si>
    <t>adaugo.adeniji@company.ng</t>
  </si>
  <si>
    <t>EMP0895</t>
  </si>
  <si>
    <t>ibrahim.aliyu@gmail.com</t>
  </si>
  <si>
    <t>EMP0896</t>
  </si>
  <si>
    <t>EMP0897</t>
  </si>
  <si>
    <t>chioma.tinubu@company.ng</t>
  </si>
  <si>
    <t>EMP0898</t>
  </si>
  <si>
    <t>john.ogundele@hotmail.com</t>
  </si>
  <si>
    <t>08083882015</t>
  </si>
  <si>
    <t>EMP0899</t>
  </si>
  <si>
    <t>blessing.garba@company.ng</t>
  </si>
  <si>
    <t>EMP0900</t>
  </si>
  <si>
    <t>fatima.idris@company.ng</t>
  </si>
  <si>
    <t>EMP0901</t>
  </si>
  <si>
    <t>daniel.ibrahim@company.ng</t>
  </si>
  <si>
    <t>EMP0902</t>
  </si>
  <si>
    <t>EMP0903</t>
  </si>
  <si>
    <t>EMP0904</t>
  </si>
  <si>
    <t>fatima.babatunde@outlook.com</t>
  </si>
  <si>
    <t>bola.nnamdi@company.ng</t>
  </si>
  <si>
    <t>EMP0906</t>
  </si>
  <si>
    <t>chioma.idris@company.ng</t>
  </si>
  <si>
    <t>EMP0907</t>
  </si>
  <si>
    <t>dayo.atiku@outlook.com</t>
  </si>
  <si>
    <t>EMP0908</t>
  </si>
  <si>
    <t>EMP0909</t>
  </si>
  <si>
    <t>james.benue@hotmail.com</t>
  </si>
  <si>
    <t>08041232806</t>
  </si>
  <si>
    <t>EMP0910</t>
  </si>
  <si>
    <t>daniel.abdullahi@company.ng</t>
  </si>
  <si>
    <t>08089621325</t>
  </si>
  <si>
    <t>EMP0911</t>
  </si>
  <si>
    <t>amaka.ogundele@gmail.com</t>
  </si>
  <si>
    <t>EMP0913</t>
  </si>
  <si>
    <t>adaugo.olawale@outlook.com</t>
  </si>
  <si>
    <t>08073216502</t>
  </si>
  <si>
    <t>EMP0914</t>
  </si>
  <si>
    <t>EMP0915</t>
  </si>
  <si>
    <t>monday.akintola@yahoo.com</t>
  </si>
  <si>
    <t>08049139430</t>
  </si>
  <si>
    <t>EMP0916</t>
  </si>
  <si>
    <t>EMP0917</t>
  </si>
  <si>
    <t>bola.fashola@hotmail.com</t>
  </si>
  <si>
    <t>08048657374</t>
  </si>
  <si>
    <t>EMP0918</t>
  </si>
  <si>
    <t>sunday.osun@yahoo.com</t>
  </si>
  <si>
    <t>EMP0919</t>
  </si>
  <si>
    <t>grace.hassan@yahoo.com</t>
  </si>
  <si>
    <t>08029873401</t>
  </si>
  <si>
    <t>EMP0920</t>
  </si>
  <si>
    <t>08036891080</t>
  </si>
  <si>
    <t>EMP0921</t>
  </si>
  <si>
    <t>dayo.afolabi@hotmail.com</t>
  </si>
  <si>
    <t>EMP0922</t>
  </si>
  <si>
    <t>EMP0923</t>
  </si>
  <si>
    <t>sunday.afolabi@outlook.com</t>
  </si>
  <si>
    <t>EMP0924</t>
  </si>
  <si>
    <t>EMP0980</t>
  </si>
  <si>
    <t>abdullahi.fashola@company.ng</t>
  </si>
  <si>
    <t>08095723816</t>
  </si>
  <si>
    <t>esther.babatunde@company.ng</t>
  </si>
  <si>
    <t>08029904388</t>
  </si>
  <si>
    <t>EMP0926</t>
  </si>
  <si>
    <t>yakubu.tinubu@gmail.com</t>
  </si>
  <si>
    <t>EMP0927</t>
  </si>
  <si>
    <t>toyin.nnamdi@gmail.com</t>
  </si>
  <si>
    <t>08038057321</t>
  </si>
  <si>
    <t>EMP0928</t>
  </si>
  <si>
    <t>abdullahi.usman@outlook.com</t>
  </si>
  <si>
    <t>08086926356</t>
  </si>
  <si>
    <t>EMP0929</t>
  </si>
  <si>
    <t>toyin.buhari@gmail.com</t>
  </si>
  <si>
    <t>EMP0930</t>
  </si>
  <si>
    <t>ifeoma.dangote@gmail.com</t>
  </si>
  <si>
    <t>EMP0931</t>
  </si>
  <si>
    <t>08012467642</t>
  </si>
  <si>
    <t>EMP0932</t>
  </si>
  <si>
    <t>oluwaseun.afolabi@hotmail.com</t>
  </si>
  <si>
    <t>EMP0933</t>
  </si>
  <si>
    <t>seun.obiora@outlook.com</t>
  </si>
  <si>
    <t>08086180583</t>
  </si>
  <si>
    <t>EMP0935</t>
  </si>
  <si>
    <t>08023186679</t>
  </si>
  <si>
    <t>EMP0936</t>
  </si>
  <si>
    <t>grace.hassan@hotmail.com</t>
  </si>
  <si>
    <t>EMP0937</t>
  </si>
  <si>
    <t>ifeoma.obiora@hotmail.com</t>
  </si>
  <si>
    <t>EMP0938</t>
  </si>
  <si>
    <t>08018572350</t>
  </si>
  <si>
    <t>EMP0940</t>
  </si>
  <si>
    <t>EMP0941</t>
  </si>
  <si>
    <t>zainab.balogun@company.ng</t>
  </si>
  <si>
    <t>EMP0942</t>
  </si>
  <si>
    <t>amaka.ibrahim@yahoo.com</t>
  </si>
  <si>
    <t>EMP0943</t>
  </si>
  <si>
    <t>samuel.ogundele@gmail.com</t>
  </si>
  <si>
    <t>EMP0944</t>
  </si>
  <si>
    <t>08048270029</t>
  </si>
  <si>
    <t>EMP0945</t>
  </si>
  <si>
    <t>sunday.hassan@yahoo.com</t>
  </si>
  <si>
    <t>paul.fashola@yahoo.com</t>
  </si>
  <si>
    <t>EMP0947</t>
  </si>
  <si>
    <t>salisu.dangote@yahoo.com</t>
  </si>
  <si>
    <t>08034774963</t>
  </si>
  <si>
    <t>gbenga.osun@yahoo.com</t>
  </si>
  <si>
    <t>EMP0949</t>
  </si>
  <si>
    <t>samuel.lawal@hotmail.com</t>
  </si>
  <si>
    <t>08061639525</t>
  </si>
  <si>
    <t>EMP0950</t>
  </si>
  <si>
    <t>monday.nwosu@company.ng</t>
  </si>
  <si>
    <t>08058540591</t>
  </si>
  <si>
    <t>EMP0951</t>
  </si>
  <si>
    <t>patience.ogundele@hotmail.com</t>
  </si>
  <si>
    <t>08075788273</t>
  </si>
  <si>
    <t>EMP0952</t>
  </si>
  <si>
    <t>08032265278</t>
  </si>
  <si>
    <t>EMP0953</t>
  </si>
  <si>
    <t>daniel.tinubu@outlook.com</t>
  </si>
  <si>
    <t>EMP0954</t>
  </si>
  <si>
    <t>dayo.omole@gmail.com</t>
  </si>
  <si>
    <t>EMP0955</t>
  </si>
  <si>
    <t>adaeze.babatunde@gmail.com</t>
  </si>
  <si>
    <t>EMP0957</t>
  </si>
  <si>
    <t>samuel.hassan@company.ng</t>
  </si>
  <si>
    <t>EMP0958</t>
  </si>
  <si>
    <t>peter.dangote@hotmail.com</t>
  </si>
  <si>
    <t>EMP0959</t>
  </si>
  <si>
    <t>kemi.lawal@hotmail.com</t>
  </si>
  <si>
    <t>EMP0960</t>
  </si>
  <si>
    <t>john.garba@outlook.com</t>
  </si>
  <si>
    <t>EMP0962</t>
  </si>
  <si>
    <t>musa.atiku@company.ng</t>
  </si>
  <si>
    <t>EMP0963</t>
  </si>
  <si>
    <t>aisha.osun@hotmail.com</t>
  </si>
  <si>
    <t>EMP0964</t>
  </si>
  <si>
    <t>EMP0965</t>
  </si>
  <si>
    <t>sunday.okonkwo@company.ng</t>
  </si>
  <si>
    <t>EMP0966</t>
  </si>
  <si>
    <t>abdullahi.ekiti@company.ng</t>
  </si>
  <si>
    <t>EMP0967</t>
  </si>
  <si>
    <t>paul.kwara@company.ng</t>
  </si>
  <si>
    <t>EMP0968</t>
  </si>
  <si>
    <t>EMP0969</t>
  </si>
  <si>
    <t>sunday.tinubu@hotmail.com</t>
  </si>
  <si>
    <t>08064010146</t>
  </si>
  <si>
    <t>EMP0970</t>
  </si>
  <si>
    <t>blessing.nwachukwu@hotmail.com</t>
  </si>
  <si>
    <t>EMP0971</t>
  </si>
  <si>
    <t>EMP0972</t>
  </si>
  <si>
    <t>bello.akande@gmail.com</t>
  </si>
  <si>
    <t>EMP0973</t>
  </si>
  <si>
    <t>08011273831</t>
  </si>
  <si>
    <t>EMP0974</t>
  </si>
  <si>
    <t>kemi.suleiman@gmail.com</t>
  </si>
  <si>
    <t>08014754662</t>
  </si>
  <si>
    <t>EMP0975</t>
  </si>
  <si>
    <t>musa.ibrahim@yahoo.com</t>
  </si>
  <si>
    <t>EMP0976</t>
  </si>
  <si>
    <t>aisha.idris@outlook.com</t>
  </si>
  <si>
    <t>EMP0977</t>
  </si>
  <si>
    <t>gbenga.aregbesola@hotmail.com</t>
  </si>
  <si>
    <t>EMP0978</t>
  </si>
  <si>
    <t>EMP0979</t>
  </si>
  <si>
    <t>chioma.fashola@yahoo.com</t>
  </si>
  <si>
    <t>EMP0981</t>
  </si>
  <si>
    <t>ruth.adeleke@hotmail.com</t>
  </si>
  <si>
    <t>EMP0982</t>
  </si>
  <si>
    <t>tunde.omole@yahoo.com</t>
  </si>
  <si>
    <t>08074738113</t>
  </si>
  <si>
    <t>daniel.dangote@hotmail.com</t>
  </si>
  <si>
    <t>08047798258</t>
  </si>
  <si>
    <t>tunde.akintola@gmail.com</t>
  </si>
  <si>
    <t>EMP0985</t>
  </si>
  <si>
    <t>zainab.aliyu@hotmail.com</t>
  </si>
  <si>
    <t>EMP0012</t>
  </si>
  <si>
    <t>EMP0023</t>
  </si>
  <si>
    <t>EMP0062</t>
  </si>
  <si>
    <t>EMP0066</t>
  </si>
  <si>
    <t>EMP0081</t>
  </si>
  <si>
    <t>EMP0082</t>
  </si>
  <si>
    <t>EMP0095</t>
  </si>
  <si>
    <t>EMP0102</t>
  </si>
  <si>
    <t>EMP0117</t>
  </si>
  <si>
    <t>EMP0137</t>
  </si>
  <si>
    <t>EMP0145</t>
  </si>
  <si>
    <t>EMP0157</t>
  </si>
  <si>
    <t>EMP0173</t>
  </si>
  <si>
    <t>EMP0219</t>
  </si>
  <si>
    <t>EMP0220</t>
  </si>
  <si>
    <t>EMP0227</t>
  </si>
  <si>
    <t>EMP0266</t>
  </si>
  <si>
    <t>EMP0317</t>
  </si>
  <si>
    <t>EMP0331</t>
  </si>
  <si>
    <t>EMP0366</t>
  </si>
  <si>
    <t>EMP0374</t>
  </si>
  <si>
    <t>EMP0389</t>
  </si>
  <si>
    <t>EMP0442</t>
  </si>
  <si>
    <t>EMP0453</t>
  </si>
  <si>
    <t>EMP0459</t>
  </si>
  <si>
    <t>EMP0463</t>
  </si>
  <si>
    <t>EMP0473</t>
  </si>
  <si>
    <t>EMP0478</t>
  </si>
  <si>
    <t>EMP0500</t>
  </si>
  <si>
    <t>EMP0506</t>
  </si>
  <si>
    <t>EMP0512</t>
  </si>
  <si>
    <t>EMP0545</t>
  </si>
  <si>
    <t>EMP0595</t>
  </si>
  <si>
    <t>EMP0601</t>
  </si>
  <si>
    <t>EMP0621</t>
  </si>
  <si>
    <t>EMP0695</t>
  </si>
  <si>
    <t>EMP0708</t>
  </si>
  <si>
    <t>EMP0726</t>
  </si>
  <si>
    <t>EMP0728</t>
  </si>
  <si>
    <t>EMP0729</t>
  </si>
  <si>
    <t>EMP0733</t>
  </si>
  <si>
    <t>EMP0740</t>
  </si>
  <si>
    <t>EMP0758</t>
  </si>
  <si>
    <t>EMP0770</t>
  </si>
  <si>
    <t>EMP0790</t>
  </si>
  <si>
    <t>EMP0792</t>
  </si>
  <si>
    <t>EMP0808</t>
  </si>
  <si>
    <t>EMP0814</t>
  </si>
  <si>
    <t>EMP0818</t>
  </si>
  <si>
    <t>EMP0892</t>
  </si>
  <si>
    <t>EMP0905</t>
  </si>
  <si>
    <t>EMP0925</t>
  </si>
  <si>
    <t>EMP0946</t>
  </si>
  <si>
    <t>EMP0948</t>
  </si>
  <si>
    <t>EMP0956</t>
  </si>
  <si>
    <t>EMP0961</t>
  </si>
  <si>
    <t>EMP0983</t>
  </si>
  <si>
    <t>EMP0984</t>
  </si>
  <si>
    <t/>
  </si>
  <si>
    <t>obinna.kogi@yahoo.com</t>
  </si>
  <si>
    <t>patience.nwosu@gmail.com</t>
  </si>
  <si>
    <t>blessing.ibrahim@yahoo.com</t>
  </si>
  <si>
    <t>gbenga.fashola@hotmail.com</t>
  </si>
  <si>
    <t>uche.garba@outlook.com</t>
  </si>
  <si>
    <t>zainab.otedola@yahoo.com</t>
  </si>
  <si>
    <t>babatunde.akande@yahoo.com</t>
  </si>
  <si>
    <t>zainab.adewale@yahoo.com</t>
  </si>
  <si>
    <t>obinna.otedola@outlook.com</t>
  </si>
  <si>
    <t>hauwa.osun@yahoo.com</t>
  </si>
  <si>
    <t>james.obi@company.ng</t>
  </si>
  <si>
    <t>dayo.babatunde@yahoo.com</t>
  </si>
  <si>
    <t>monday.abdullahi@yahoo.com</t>
  </si>
  <si>
    <t>fatima.adeniji@gmail.com</t>
  </si>
  <si>
    <t>sunday.dangote@outlook.com</t>
  </si>
  <si>
    <t>nneka.dangote@outlook.com</t>
  </si>
  <si>
    <t>dayo.suleiman@outlook.com</t>
  </si>
  <si>
    <t>victor.ekiti@gmail.com</t>
  </si>
  <si>
    <t>sade.nwachukwu@hotmail.com</t>
  </si>
  <si>
    <t>nneka.obi@hotmail.com</t>
  </si>
  <si>
    <t>hauwa.omole@gmail.com</t>
  </si>
  <si>
    <t>funmi.adesanya@outlook.com</t>
  </si>
  <si>
    <t>aisha.eze@yahoo.com</t>
  </si>
  <si>
    <t>fatima.okonkwo@gmail.com</t>
  </si>
  <si>
    <t>peter.obiora@gmail.com</t>
  </si>
  <si>
    <t>ibrahim.olawale@yahoo.com</t>
  </si>
  <si>
    <t>yemi.nnamdi@outlook.com</t>
  </si>
  <si>
    <t>peter.adesanya@outlook.com</t>
  </si>
  <si>
    <t>nneka.ogundele@outlook.com</t>
  </si>
  <si>
    <t>nneka.abdullahi@yahoo.com</t>
  </si>
  <si>
    <t>esther.babatunde@gmail.com</t>
  </si>
  <si>
    <t>musa.usman@outlook.com</t>
  </si>
  <si>
    <t>toyin.nwosu@outlook.com</t>
  </si>
  <si>
    <t>chioma.balogun@outlook.com</t>
  </si>
  <si>
    <t>adaeze.hassan@hotmail.com</t>
  </si>
  <si>
    <t>toyin.adewale@gmail.com</t>
  </si>
  <si>
    <t>zainab.nwosu@gmail.com</t>
  </si>
  <si>
    <t>blessing.idris@gmail.com</t>
  </si>
  <si>
    <t>samuel.benue@yahoo.com</t>
  </si>
  <si>
    <t>ifeanyi.balogun@hotmail.com</t>
  </si>
  <si>
    <t>paul.usman@yahoo.com</t>
  </si>
  <si>
    <t>musa.kogi@hotmail.com</t>
  </si>
  <si>
    <t>patience.idris@gmail.com</t>
  </si>
  <si>
    <t>ifeoma.adewale@outlook.com</t>
  </si>
  <si>
    <t>yemi.ibrahim@hotmail.com</t>
  </si>
  <si>
    <t>yakubu.nnamdi@yahoo.com</t>
  </si>
  <si>
    <t>obinna.nwosu@gmail.com</t>
  </si>
  <si>
    <t>adaugo.ogunleye@company.ng</t>
  </si>
  <si>
    <t>bello.nnamdi@hotmail.com</t>
  </si>
  <si>
    <t>toyin.ekiti@company.ng</t>
  </si>
  <si>
    <t>toyin.idris@company.ng</t>
  </si>
  <si>
    <t>seun.olawale@outlook.com</t>
  </si>
  <si>
    <t>chidi.musa@yahoo.com</t>
  </si>
  <si>
    <t>monday.ogunleye@company.ng</t>
  </si>
  <si>
    <t>obinna.adeniji@hotmail.com</t>
  </si>
  <si>
    <t>seun.adewale@gmail.com</t>
  </si>
  <si>
    <t>john.idris@outlook.com</t>
  </si>
  <si>
    <t>victor.okafor@company.ng</t>
  </si>
  <si>
    <t>esther.hassan@hotmail.com</t>
  </si>
  <si>
    <t>adaeze.obi@outlook.com</t>
  </si>
  <si>
    <t>james.chukwu@hotmail.com</t>
  </si>
  <si>
    <t>ngozi.dangote@hotmail.com</t>
  </si>
  <si>
    <t>yakubu.olawale@yahoo.com</t>
  </si>
  <si>
    <t>aisha.benue@outlook.com</t>
  </si>
  <si>
    <t>emmanuel.buhari@company.ng</t>
  </si>
  <si>
    <t>grace.ibrahim@gmail.com</t>
  </si>
  <si>
    <t>chidi.dangote@company.ng</t>
  </si>
  <si>
    <t>dayo.suleiman@gmail.com</t>
  </si>
  <si>
    <t>gbenga.suleiman@hotmail.com</t>
  </si>
  <si>
    <t>sunday.abdullahi@hotmail.com</t>
  </si>
  <si>
    <t>gbenga.nwosu@outlook.com</t>
  </si>
  <si>
    <t>tunde.akande@hotmail.com</t>
  </si>
  <si>
    <t>samuel.kogi@hotmail.com</t>
  </si>
  <si>
    <t>victor.akintola@company.ng</t>
  </si>
  <si>
    <t>salisu.otedola@yahoo.com</t>
  </si>
  <si>
    <t>adaeze.nwosu@hotmail.com</t>
  </si>
  <si>
    <t>ibrahim.fashola@outlook.com</t>
  </si>
  <si>
    <t>ruth.okafor@gmail.com</t>
  </si>
  <si>
    <t>toyin.atiku@outlook.com</t>
  </si>
  <si>
    <t>monday.fashola@gmail.com</t>
  </si>
  <si>
    <t>ifeanyi.ibrahim@yahoo.com</t>
  </si>
  <si>
    <t>obinna.benue@hotmail.com</t>
  </si>
  <si>
    <t>seun.atiku@gmail.com</t>
  </si>
  <si>
    <t>toyin.kogi@company.ng</t>
  </si>
  <si>
    <t>peter.buhari@hotmail.com</t>
  </si>
  <si>
    <t>esther.eze@yahoo.com</t>
  </si>
  <si>
    <t>emmanuel.eze@hotmail.com</t>
  </si>
  <si>
    <t>monday.adewale@company.ng</t>
  </si>
  <si>
    <t>bello.nwachukwu@company.ng</t>
  </si>
  <si>
    <t>toyin.fashola@outlook.com</t>
  </si>
  <si>
    <t>uche.obi@gmail.com</t>
  </si>
  <si>
    <t>tunde.ibrahim@hotmail.com</t>
  </si>
  <si>
    <t>tunde.balogun@company.ng</t>
  </si>
  <si>
    <t>ifeanyi.kwara@yahoo.com</t>
  </si>
  <si>
    <t>ngozi.babatunde@company.ng</t>
  </si>
  <si>
    <t>gbenga.usman@gmail.com</t>
  </si>
  <si>
    <t>aisha.nnamdi@company.ng</t>
  </si>
  <si>
    <t>adaeze.benue@company.ng</t>
  </si>
  <si>
    <t>victor.obiora@yahoo.com</t>
  </si>
  <si>
    <t>uche.aliyu@hotmail.com</t>
  </si>
  <si>
    <t>ngozi.nwachukwu@company.ng</t>
  </si>
  <si>
    <t>paul.fashola@hotmail.com</t>
  </si>
  <si>
    <t>08000133890</t>
  </si>
  <si>
    <t>08009570154</t>
  </si>
  <si>
    <t>08085435346</t>
  </si>
  <si>
    <t>08060256342</t>
  </si>
  <si>
    <t>08090967054</t>
  </si>
  <si>
    <t>08064990913</t>
  </si>
  <si>
    <t>08064887719</t>
  </si>
  <si>
    <t>08007154516</t>
  </si>
  <si>
    <t>08062386922</t>
  </si>
  <si>
    <t>08040909743</t>
  </si>
  <si>
    <t>08068516048</t>
  </si>
  <si>
    <t>08079640537</t>
  </si>
  <si>
    <t>08042102053</t>
  </si>
  <si>
    <t>08047896118</t>
  </si>
  <si>
    <t>08060607159</t>
  </si>
  <si>
    <t>08015220472</t>
  </si>
  <si>
    <t>08074034505</t>
  </si>
  <si>
    <t>08016582029</t>
  </si>
  <si>
    <t>08027155188</t>
  </si>
  <si>
    <t>08089226801</t>
  </si>
  <si>
    <t>08077470168</t>
  </si>
  <si>
    <t>08023986800</t>
  </si>
  <si>
    <t>08043757584</t>
  </si>
  <si>
    <t>08042054932</t>
  </si>
  <si>
    <t>08040391065</t>
  </si>
  <si>
    <t>08048996423</t>
  </si>
  <si>
    <t>08017659180</t>
  </si>
  <si>
    <t>08031599965</t>
  </si>
  <si>
    <t>08081995604</t>
  </si>
  <si>
    <t>08057905072</t>
  </si>
  <si>
    <t>08085691463</t>
  </si>
  <si>
    <t>08056804420</t>
  </si>
  <si>
    <t>08035521570</t>
  </si>
  <si>
    <t>08070629620</t>
  </si>
  <si>
    <t>08052704774</t>
  </si>
  <si>
    <t>08016329451</t>
  </si>
  <si>
    <t>08045054447</t>
  </si>
  <si>
    <t>08030033542</t>
  </si>
  <si>
    <t>08019721811</t>
  </si>
  <si>
    <t>08076212021</t>
  </si>
  <si>
    <t>08028900287</t>
  </si>
  <si>
    <t>08006665800</t>
  </si>
  <si>
    <t>08047985158</t>
  </si>
  <si>
    <t>08080919015</t>
  </si>
  <si>
    <t>08020533645</t>
  </si>
  <si>
    <t>08042788165</t>
  </si>
  <si>
    <t>08080920242</t>
  </si>
  <si>
    <t>08079908811</t>
  </si>
  <si>
    <t>08027961143</t>
  </si>
  <si>
    <t>08080118489</t>
  </si>
  <si>
    <t>08047284639</t>
  </si>
  <si>
    <t>08013261117</t>
  </si>
  <si>
    <t>08088457831</t>
  </si>
  <si>
    <t>08048463122</t>
  </si>
  <si>
    <t>08049032234</t>
  </si>
  <si>
    <t>08051327195</t>
  </si>
  <si>
    <t>08048570862</t>
  </si>
  <si>
    <t>08025832067</t>
  </si>
  <si>
    <t>08055904259</t>
  </si>
  <si>
    <t>08020439407</t>
  </si>
  <si>
    <t>08084046084</t>
  </si>
  <si>
    <t>08082771812</t>
  </si>
  <si>
    <t>08095299787</t>
  </si>
  <si>
    <t>08061735743</t>
  </si>
  <si>
    <t>08009435334</t>
  </si>
  <si>
    <t>08038276153</t>
  </si>
  <si>
    <t>08046997335</t>
  </si>
  <si>
    <t>08019712847</t>
  </si>
  <si>
    <t>08052580010</t>
  </si>
  <si>
    <t>08042140665</t>
  </si>
  <si>
    <t>08017993136</t>
  </si>
  <si>
    <t>08089319508</t>
  </si>
  <si>
    <t>08077492424</t>
  </si>
  <si>
    <t>08089888167</t>
  </si>
  <si>
    <t>08027125663</t>
  </si>
  <si>
    <t>08040790569</t>
  </si>
  <si>
    <t>08049363123</t>
  </si>
  <si>
    <t>08098471391</t>
  </si>
  <si>
    <t>08064518376</t>
  </si>
  <si>
    <t>08069421529</t>
  </si>
  <si>
    <t>08096164236</t>
  </si>
  <si>
    <t>08017957602</t>
  </si>
  <si>
    <t>08092683158</t>
  </si>
  <si>
    <t>08037702851</t>
  </si>
  <si>
    <t>08095690705</t>
  </si>
  <si>
    <t>08040578617</t>
  </si>
  <si>
    <t>08011807156</t>
  </si>
  <si>
    <t>08002615347</t>
  </si>
  <si>
    <t>08007826333</t>
  </si>
  <si>
    <t>08016032484</t>
  </si>
  <si>
    <t>08018372742</t>
  </si>
  <si>
    <t>08069183626</t>
  </si>
  <si>
    <t>08064932898</t>
  </si>
  <si>
    <t>08072942095</t>
  </si>
  <si>
    <t>08029839542</t>
  </si>
  <si>
    <t>08015542340</t>
  </si>
  <si>
    <t>08080797050</t>
  </si>
  <si>
    <t>08023414363</t>
  </si>
  <si>
    <t>08020005347</t>
  </si>
  <si>
    <t>08020293908</t>
  </si>
  <si>
    <t>08053424089</t>
  </si>
  <si>
    <t>08086203036</t>
  </si>
  <si>
    <t>08010225267</t>
  </si>
  <si>
    <t>08050305872</t>
  </si>
  <si>
    <t>08022728476</t>
  </si>
  <si>
    <t>08077566205</t>
  </si>
  <si>
    <t>08010248171</t>
  </si>
  <si>
    <t>08030306442</t>
  </si>
  <si>
    <t>08081964825</t>
  </si>
  <si>
    <t>08044211753</t>
  </si>
  <si>
    <t>08013052312</t>
  </si>
  <si>
    <t>08020849649</t>
  </si>
  <si>
    <t>08055330770</t>
  </si>
  <si>
    <t>08013100943</t>
  </si>
  <si>
    <t>08002412095</t>
  </si>
  <si>
    <t>08026325703</t>
  </si>
  <si>
    <t>08061449429</t>
  </si>
  <si>
    <t>08079311029</t>
  </si>
  <si>
    <t>08062983347</t>
  </si>
  <si>
    <t>08050371990</t>
  </si>
  <si>
    <t>08074584384</t>
  </si>
  <si>
    <t>08067033626</t>
  </si>
  <si>
    <t>08020441384</t>
  </si>
  <si>
    <t>08003102879</t>
  </si>
  <si>
    <t>08035353751</t>
  </si>
  <si>
    <t>08006185380</t>
  </si>
  <si>
    <t>08004735047</t>
  </si>
  <si>
    <t>08097646136</t>
  </si>
  <si>
    <t>08074645205</t>
  </si>
  <si>
    <t>08041644859</t>
  </si>
  <si>
    <t>08079197111</t>
  </si>
  <si>
    <t>08023555809</t>
  </si>
  <si>
    <t>08007660464</t>
  </si>
  <si>
    <t>08084245607</t>
  </si>
  <si>
    <t>08087368269</t>
  </si>
  <si>
    <t>08073278195</t>
  </si>
  <si>
    <t>08091256523</t>
  </si>
  <si>
    <t>08064303942</t>
  </si>
  <si>
    <t>08087722164</t>
  </si>
  <si>
    <t>08067349960</t>
  </si>
  <si>
    <t>08053449021</t>
  </si>
  <si>
    <t>08033426433</t>
  </si>
  <si>
    <t>08081700666</t>
  </si>
  <si>
    <t>08051207346</t>
  </si>
  <si>
    <t>08017793238</t>
  </si>
  <si>
    <t>08009775396</t>
  </si>
  <si>
    <t>08026832303</t>
  </si>
  <si>
    <t>08001484399</t>
  </si>
  <si>
    <t>08045101739</t>
  </si>
  <si>
    <t>08003920514</t>
  </si>
  <si>
    <t>08070382407</t>
  </si>
  <si>
    <t>08089218785</t>
  </si>
  <si>
    <t>08091815899</t>
  </si>
  <si>
    <t>08046358068</t>
  </si>
  <si>
    <t>08045772785</t>
  </si>
  <si>
    <t>08079622951</t>
  </si>
  <si>
    <t>08039578654</t>
  </si>
  <si>
    <t>08075998011</t>
  </si>
  <si>
    <t>08071026767</t>
  </si>
  <si>
    <t>08015810213</t>
  </si>
  <si>
    <t>08050961701</t>
  </si>
  <si>
    <t>08062650622</t>
  </si>
  <si>
    <t>08096919284</t>
  </si>
  <si>
    <t>08099080271</t>
  </si>
  <si>
    <t>08079863210</t>
  </si>
  <si>
    <t>08031910090</t>
  </si>
  <si>
    <t>08084409712</t>
  </si>
  <si>
    <t>08078255882</t>
  </si>
  <si>
    <t>08043813000</t>
  </si>
  <si>
    <t>08060717481</t>
  </si>
  <si>
    <t>08042049561</t>
  </si>
  <si>
    <t>08077731268</t>
  </si>
  <si>
    <t>08039847169</t>
  </si>
  <si>
    <t>08044449835</t>
  </si>
  <si>
    <t>08030900159</t>
  </si>
  <si>
    <t>08009317069</t>
  </si>
  <si>
    <t>08036428131</t>
  </si>
  <si>
    <t>08041966645</t>
  </si>
  <si>
    <t>08094588707</t>
  </si>
  <si>
    <t>08082984933</t>
  </si>
  <si>
    <t>08026705514</t>
  </si>
  <si>
    <t>08063453372</t>
  </si>
  <si>
    <t>08057256592</t>
  </si>
  <si>
    <t>08084870450</t>
  </si>
  <si>
    <t>08013787655</t>
  </si>
  <si>
    <t>08006153722</t>
  </si>
  <si>
    <t>08037681187</t>
  </si>
  <si>
    <t>08040655782</t>
  </si>
  <si>
    <t>08011231261</t>
  </si>
  <si>
    <t>08022489056</t>
  </si>
  <si>
    <t>08069177682</t>
  </si>
  <si>
    <t>08074926999</t>
  </si>
  <si>
    <t>08069661016</t>
  </si>
  <si>
    <t>08061770673</t>
  </si>
  <si>
    <t>08090898436</t>
  </si>
  <si>
    <t>08015238676</t>
  </si>
  <si>
    <t>08035040566</t>
  </si>
  <si>
    <t>08091179720</t>
  </si>
  <si>
    <t>08027698198</t>
  </si>
  <si>
    <t>08096559428</t>
  </si>
  <si>
    <t>08021444889</t>
  </si>
  <si>
    <t>08091060183</t>
  </si>
  <si>
    <t>08060827172</t>
  </si>
  <si>
    <t>08044617773</t>
  </si>
  <si>
    <t>08001256083</t>
  </si>
  <si>
    <t>08039102929</t>
  </si>
  <si>
    <t>08095229462</t>
  </si>
  <si>
    <t>08020270615</t>
  </si>
  <si>
    <t>08018615640</t>
  </si>
  <si>
    <t>08096274666</t>
  </si>
  <si>
    <t>08023899499</t>
  </si>
  <si>
    <t>08056577580</t>
  </si>
  <si>
    <t>08031123274</t>
  </si>
  <si>
    <t>08059671500</t>
  </si>
  <si>
    <t>08035748352</t>
  </si>
  <si>
    <t>08035412012</t>
  </si>
  <si>
    <t>08032501736</t>
  </si>
  <si>
    <t>08073290457</t>
  </si>
  <si>
    <t>08089318692</t>
  </si>
  <si>
    <t>08021986550</t>
  </si>
  <si>
    <t>08009594815</t>
  </si>
  <si>
    <t>08065237772</t>
  </si>
  <si>
    <t>08053236618</t>
  </si>
  <si>
    <t>08067357422</t>
  </si>
  <si>
    <t>08080467413</t>
  </si>
  <si>
    <t>08031202191</t>
  </si>
  <si>
    <t>08089413210</t>
  </si>
  <si>
    <t>08095530245</t>
  </si>
  <si>
    <t>08037749266</t>
  </si>
  <si>
    <t>08096363726</t>
  </si>
  <si>
    <t>08067761065</t>
  </si>
  <si>
    <t>08095912573</t>
  </si>
  <si>
    <t>08052516185</t>
  </si>
  <si>
    <t>08012488397</t>
  </si>
  <si>
    <t>08031566397</t>
  </si>
  <si>
    <t>08009794122</t>
  </si>
  <si>
    <t>08088991141</t>
  </si>
  <si>
    <t>08084336113</t>
  </si>
  <si>
    <t>08065344604</t>
  </si>
  <si>
    <t>08088780727</t>
  </si>
  <si>
    <t>08000244323</t>
  </si>
  <si>
    <t>08003350842</t>
  </si>
  <si>
    <t>08046772051</t>
  </si>
  <si>
    <t>08040508927</t>
  </si>
  <si>
    <t>08029075965</t>
  </si>
  <si>
    <t>08075286461</t>
  </si>
  <si>
    <t>08040858588</t>
  </si>
  <si>
    <t>08063942012</t>
  </si>
  <si>
    <t>08089222471</t>
  </si>
  <si>
    <t>08013361094</t>
  </si>
  <si>
    <t>08001799932</t>
  </si>
  <si>
    <t>08010095385</t>
  </si>
  <si>
    <t>08046983306</t>
  </si>
  <si>
    <t>08087605504</t>
  </si>
  <si>
    <t>08003701709</t>
  </si>
  <si>
    <t>08041168069</t>
  </si>
  <si>
    <t>08093153983</t>
  </si>
  <si>
    <t>08079661869</t>
  </si>
  <si>
    <t>08003982218</t>
  </si>
  <si>
    <t>08053026184</t>
  </si>
  <si>
    <t>08091898664</t>
  </si>
  <si>
    <t>08084423471</t>
  </si>
  <si>
    <t>08023610809</t>
  </si>
  <si>
    <t>08016654512</t>
  </si>
  <si>
    <t>08051817882</t>
  </si>
  <si>
    <t>08068933486</t>
  </si>
  <si>
    <t>08099621836</t>
  </si>
  <si>
    <t>08078879531</t>
  </si>
  <si>
    <t>08006670151</t>
  </si>
  <si>
    <t>08029853243</t>
  </si>
  <si>
    <t>08081615381</t>
  </si>
  <si>
    <t>08042926456</t>
  </si>
  <si>
    <t>08061259016</t>
  </si>
  <si>
    <t>08099100420</t>
  </si>
  <si>
    <t>08060157117</t>
  </si>
  <si>
    <t>08038107491</t>
  </si>
  <si>
    <t>08098994885</t>
  </si>
  <si>
    <t>08014413068</t>
  </si>
  <si>
    <t>08078912139</t>
  </si>
  <si>
    <t>08000417241</t>
  </si>
  <si>
    <t>08012724553</t>
  </si>
  <si>
    <t>08058030901</t>
  </si>
  <si>
    <t>08083326170</t>
  </si>
  <si>
    <t>08087930302</t>
  </si>
  <si>
    <t>08077771184</t>
  </si>
  <si>
    <t>08056676409</t>
  </si>
  <si>
    <t>08057911501</t>
  </si>
  <si>
    <t>08003356369</t>
  </si>
  <si>
    <t>08029301125</t>
  </si>
  <si>
    <t>08027943379</t>
  </si>
  <si>
    <t>08060919351</t>
  </si>
  <si>
    <t>08062099069</t>
  </si>
  <si>
    <t>08029655619</t>
  </si>
  <si>
    <t>08037518669</t>
  </si>
  <si>
    <t>08064535917</t>
  </si>
  <si>
    <t>08071103847</t>
  </si>
  <si>
    <t>08058530101</t>
  </si>
  <si>
    <t>08031812335</t>
  </si>
  <si>
    <t>08085295377</t>
  </si>
  <si>
    <t>08018158374</t>
  </si>
  <si>
    <t>08002927640</t>
  </si>
  <si>
    <t>08014520580</t>
  </si>
  <si>
    <t>08051489538</t>
  </si>
  <si>
    <t>08096789630</t>
  </si>
  <si>
    <t>08004033480</t>
  </si>
  <si>
    <t>08019919817</t>
  </si>
  <si>
    <t>08043687715</t>
  </si>
  <si>
    <t>08057856413</t>
  </si>
  <si>
    <t>08047040714</t>
  </si>
  <si>
    <t>08017067949</t>
  </si>
  <si>
    <t>08033513901</t>
  </si>
  <si>
    <t>08048333540</t>
  </si>
  <si>
    <t>08048886804</t>
  </si>
  <si>
    <t>08018158913</t>
  </si>
  <si>
    <t>08011107976</t>
  </si>
  <si>
    <t>08013826870</t>
  </si>
  <si>
    <t>08032333023</t>
  </si>
  <si>
    <t>08054875311</t>
  </si>
  <si>
    <t>08095866399</t>
  </si>
  <si>
    <t>08045120220</t>
  </si>
  <si>
    <t>08030958723</t>
  </si>
  <si>
    <t>08062591883</t>
  </si>
  <si>
    <t>08029903480</t>
  </si>
  <si>
    <t>08015273117</t>
  </si>
  <si>
    <t>08090226247</t>
  </si>
  <si>
    <t>08040985372</t>
  </si>
  <si>
    <t>08085635200</t>
  </si>
  <si>
    <t>08011645605</t>
  </si>
  <si>
    <t>08031373714</t>
  </si>
  <si>
    <t>08014564572</t>
  </si>
  <si>
    <t>08080576310</t>
  </si>
  <si>
    <t>08092768714</t>
  </si>
  <si>
    <t>08055906278</t>
  </si>
  <si>
    <t>08079551924</t>
  </si>
  <si>
    <t>08028732107</t>
  </si>
  <si>
    <t>08055100510</t>
  </si>
  <si>
    <t>08024115050</t>
  </si>
  <si>
    <t>08039501115</t>
  </si>
  <si>
    <t>08092055967</t>
  </si>
  <si>
    <t>08085898681</t>
  </si>
  <si>
    <t>08076135007</t>
  </si>
  <si>
    <t>08065076122</t>
  </si>
  <si>
    <t>08037874778</t>
  </si>
  <si>
    <t>08053740513</t>
  </si>
  <si>
    <t>08061830734</t>
  </si>
  <si>
    <t>08029371784</t>
  </si>
  <si>
    <t>08036059627</t>
  </si>
  <si>
    <t>08031602274</t>
  </si>
  <si>
    <t>08089397704</t>
  </si>
  <si>
    <t>08018395252</t>
  </si>
  <si>
    <t>08089191874</t>
  </si>
  <si>
    <t>08081105703</t>
  </si>
  <si>
    <t>08043065874</t>
  </si>
  <si>
    <t>08045761304</t>
  </si>
  <si>
    <t>08071646821</t>
  </si>
  <si>
    <t>08045257330</t>
  </si>
  <si>
    <t>08040389554</t>
  </si>
  <si>
    <t>08059380625</t>
  </si>
  <si>
    <t>08060138550</t>
  </si>
  <si>
    <t>08071775885</t>
  </si>
  <si>
    <t>08080446081</t>
  </si>
  <si>
    <t>08061888178</t>
  </si>
  <si>
    <t>08004596920</t>
  </si>
  <si>
    <t>08081165955</t>
  </si>
  <si>
    <t>08008842672</t>
  </si>
  <si>
    <t>08091573806</t>
  </si>
  <si>
    <t>08027676596</t>
  </si>
  <si>
    <t>08039450375</t>
  </si>
  <si>
    <t>08010265838</t>
  </si>
  <si>
    <t>08081951648</t>
  </si>
  <si>
    <t>08038478483</t>
  </si>
  <si>
    <t>08098245538</t>
  </si>
  <si>
    <t>08048761504</t>
  </si>
  <si>
    <t>08025593502</t>
  </si>
  <si>
    <t>08047816766</t>
  </si>
  <si>
    <t>08074499246</t>
  </si>
  <si>
    <t>08082292324</t>
  </si>
  <si>
    <t>08000551267</t>
  </si>
  <si>
    <t>08056513358</t>
  </si>
  <si>
    <t>08032043192</t>
  </si>
  <si>
    <t>08070690571</t>
  </si>
  <si>
    <t>08046855190</t>
  </si>
  <si>
    <t>08017047012</t>
  </si>
  <si>
    <t>08098331793</t>
  </si>
  <si>
    <t>08051739222</t>
  </si>
  <si>
    <t>08075092720</t>
  </si>
  <si>
    <t>08074935492</t>
  </si>
  <si>
    <t>08062455462</t>
  </si>
  <si>
    <t>08051635214</t>
  </si>
  <si>
    <t>08002098446</t>
  </si>
  <si>
    <t>08052315682</t>
  </si>
  <si>
    <t>08087667408</t>
  </si>
  <si>
    <t>08047050707</t>
  </si>
  <si>
    <t>08047112461</t>
  </si>
  <si>
    <t>08057044307</t>
  </si>
  <si>
    <t>08086432314</t>
  </si>
  <si>
    <t>08002060713</t>
  </si>
  <si>
    <t>08058268295</t>
  </si>
  <si>
    <t>08078952361</t>
  </si>
  <si>
    <t>08054337327</t>
  </si>
  <si>
    <t>08000788675</t>
  </si>
  <si>
    <t>08038762157</t>
  </si>
  <si>
    <t>08082159007</t>
  </si>
  <si>
    <t>08057666476</t>
  </si>
  <si>
    <t>08029873864</t>
  </si>
  <si>
    <t>08001999162</t>
  </si>
  <si>
    <t>08003872121</t>
  </si>
  <si>
    <t>08027737655</t>
  </si>
  <si>
    <t>08006279895</t>
  </si>
  <si>
    <t>08009006325</t>
  </si>
  <si>
    <t>08053908783</t>
  </si>
  <si>
    <t>08088792449</t>
  </si>
  <si>
    <t>08095903177</t>
  </si>
  <si>
    <t>08030405319</t>
  </si>
  <si>
    <t>08017272797</t>
  </si>
  <si>
    <t>08024960170</t>
  </si>
  <si>
    <t>08035872729</t>
  </si>
  <si>
    <t>08086762273</t>
  </si>
  <si>
    <t>08078624301</t>
  </si>
  <si>
    <t>08046073723</t>
  </si>
  <si>
    <t>08079017522</t>
  </si>
  <si>
    <t>08051397635</t>
  </si>
  <si>
    <t>08034819543</t>
  </si>
  <si>
    <t>08088919949</t>
  </si>
  <si>
    <t>08064605955</t>
  </si>
  <si>
    <t>08031963052</t>
  </si>
  <si>
    <t>08062230635</t>
  </si>
  <si>
    <t>08020380695</t>
  </si>
  <si>
    <t>08090294037</t>
  </si>
  <si>
    <t>08061388655</t>
  </si>
  <si>
    <t>08020203388</t>
  </si>
  <si>
    <t>08054284251</t>
  </si>
  <si>
    <t>08013403997</t>
  </si>
  <si>
    <t>08077192889</t>
  </si>
  <si>
    <t>08074514537</t>
  </si>
  <si>
    <t>08088032427</t>
  </si>
  <si>
    <t>08072628033</t>
  </si>
  <si>
    <t>08079554129</t>
  </si>
  <si>
    <t>08086329085</t>
  </si>
  <si>
    <t>08059670716</t>
  </si>
  <si>
    <t>08027344979</t>
  </si>
  <si>
    <t>08077185360</t>
  </si>
  <si>
    <t>08055026134</t>
  </si>
  <si>
    <t>08064615265</t>
  </si>
  <si>
    <t>08022425777</t>
  </si>
  <si>
    <t>08047706939</t>
  </si>
  <si>
    <t>08097251234</t>
  </si>
  <si>
    <t>08094764612</t>
  </si>
  <si>
    <t>08078704811</t>
  </si>
  <si>
    <t>08055285870</t>
  </si>
  <si>
    <t>08091459773</t>
  </si>
  <si>
    <t>08036597268</t>
  </si>
  <si>
    <t>08072504025</t>
  </si>
  <si>
    <t>08015566134</t>
  </si>
  <si>
    <t>08061709987</t>
  </si>
  <si>
    <t>08087622957</t>
  </si>
  <si>
    <t>08026445829</t>
  </si>
  <si>
    <t>08046440261</t>
  </si>
  <si>
    <t>08012633402</t>
  </si>
  <si>
    <t>08031367572</t>
  </si>
  <si>
    <t>08018016648</t>
  </si>
  <si>
    <t>08050460262</t>
  </si>
  <si>
    <t>08052686650</t>
  </si>
  <si>
    <t>08045740519</t>
  </si>
  <si>
    <t>08016495060</t>
  </si>
  <si>
    <t>08047473343</t>
  </si>
  <si>
    <t>08005509579</t>
  </si>
  <si>
    <t>08014209420</t>
  </si>
  <si>
    <t>08073857094</t>
  </si>
  <si>
    <t>08034037791</t>
  </si>
  <si>
    <t>Salary_bands</t>
  </si>
  <si>
    <t>Tenure_Category</t>
  </si>
  <si>
    <t>Age_Group</t>
  </si>
  <si>
    <t>Young (18-30)</t>
  </si>
  <si>
    <t>Mid-Career (31-45)</t>
  </si>
  <si>
    <t>Senior (46+)</t>
  </si>
  <si>
    <t>Mid (200K-500K)</t>
  </si>
  <si>
    <t>Low (&lt;200K)</t>
  </si>
  <si>
    <t>High (500K+)</t>
  </si>
  <si>
    <t>Veteran (9+ Yrs)</t>
  </si>
  <si>
    <t>New (3-5 Yrs)</t>
  </si>
  <si>
    <t>Growing (6-8 Yrs)</t>
  </si>
  <si>
    <t>Row Labels</t>
  </si>
  <si>
    <t>Grand Total</t>
  </si>
  <si>
    <t>Column Labels</t>
  </si>
  <si>
    <t>Count of Employee_ID</t>
  </si>
  <si>
    <t>s</t>
  </si>
  <si>
    <t>KPI</t>
  </si>
  <si>
    <t>Calculations</t>
  </si>
  <si>
    <t>Display</t>
  </si>
  <si>
    <t>Total Employees</t>
  </si>
  <si>
    <t>Average Age</t>
  </si>
  <si>
    <t>% Full-Time Employees</t>
  </si>
  <si>
    <t>Average of Age</t>
  </si>
  <si>
    <t>Gender Ratio (Male)</t>
  </si>
  <si>
    <t>Gender Ratio (Female)</t>
  </si>
  <si>
    <t>Average of Salary_NGN</t>
  </si>
  <si>
    <t>Max of Salary_NGN</t>
  </si>
  <si>
    <t>₦₦</t>
  </si>
  <si>
    <t>Average Salary</t>
  </si>
  <si>
    <t>Average Years of Service</t>
  </si>
  <si>
    <t>% Poor Performers</t>
  </si>
  <si>
    <t xml:space="preserve">% Excellent Performers </t>
  </si>
  <si>
    <t>Average of Years_of_Service</t>
  </si>
  <si>
    <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</si>
</sst>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quot;₦&quot;* #,##0.00_-;_-&quot;₦&quot;* &quot;-&quot;??_-;_-@_-"/>
  </numFmts>
  <fonts count="7" x14ac:knownFonts="1">
    <font>
      <sz val="11"/>
      <color theme="1"/>
      <name val="Calibri"/>
      <family val="2"/>
      <scheme val="minor"/>
    </font>
    <font>
      <sz val="11"/>
      <color theme="1"/>
      <name val="Calibri"/>
      <family val="2"/>
      <scheme val="minor"/>
    </font>
    <font>
      <sz val="8"/>
      <name val="Calibri"/>
      <family val="2"/>
      <scheme val="minor"/>
    </font>
    <font>
      <b/>
      <sz val="10"/>
      <color rgb="FFFFFFFF"/>
      <name val="Arial"/>
      <family val="2"/>
    </font>
    <font>
      <b/>
      <sz val="11"/>
      <color theme="1"/>
      <name val="Calibri"/>
      <family val="2"/>
      <scheme val="minor"/>
    </font>
    <font>
      <b/>
      <sz val="12"/>
      <color theme="1"/>
      <name val="Calibri"/>
      <family val="2"/>
      <scheme val="minor"/>
    </font>
    <font>
      <sz val="11"/>
      <color theme="1"/>
      <name val="Calibri"/>
      <family val="2"/>
    </font>
  </fonts>
  <fills count="5">
    <fill>
      <patternFill patternType="none"/>
    </fill>
    <fill>
      <patternFill patternType="gray125"/>
    </fill>
    <fill>
      <patternFill patternType="solid">
        <fgColor rgb="FF1B2A4A"/>
      </patternFill>
    </fill>
    <fill>
      <patternFill patternType="solid">
        <fgColor rgb="FF1B2A4A"/>
        <bgColor indexed="64"/>
      </patternFill>
    </fill>
    <fill>
      <patternFill patternType="solid">
        <fgColor theme="1"/>
        <bgColor indexed="64"/>
      </patternFill>
    </fill>
  </fills>
  <borders count="2">
    <border>
      <left/>
      <right/>
      <top/>
      <bottom/>
      <diagonal/>
    </border>
    <border>
      <left style="thin">
        <color theme="0"/>
      </left>
      <right/>
      <top/>
      <bottom/>
      <diagonal/>
    </border>
  </borders>
  <cellStyleXfs count="2">
    <xf numFmtId="0" fontId="0" fillId="0" borderId="0"/>
    <xf numFmtId="44" fontId="1" fillId="0" borderId="0" applyFont="0" applyFill="0" applyBorder="0" applyAlignment="0" applyProtection="0"/>
  </cellStyleXfs>
  <cellXfs count="17">
    <xf numFmtId="0" fontId="0" fillId="0" borderId="0" xfId="0"/>
    <xf numFmtId="14" fontId="0" fillId="0" borderId="0" xfId="0" applyNumberFormat="1"/>
    <xf numFmtId="44" fontId="0" fillId="0" borderId="0" xfId="1" applyFont="1"/>
    <xf numFmtId="0" fontId="3" fillId="2" borderId="0" xfId="0" applyFont="1" applyFill="1" applyAlignment="1">
      <alignment horizontal="center" vertical="center" wrapText="1"/>
    </xf>
    <xf numFmtId="0" fontId="3" fillId="2"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44" fontId="3" fillId="3" borderId="1" xfId="1" applyFont="1" applyFill="1" applyBorder="1" applyAlignment="1">
      <alignment horizontal="center" vertical="center" wrapText="1"/>
    </xf>
    <xf numFmtId="0" fontId="0" fillId="4" borderId="0" xfId="0" applyFill="1"/>
    <xf numFmtId="0" fontId="0" fillId="0" borderId="0" xfId="0" pivotButton="1"/>
    <xf numFmtId="0" fontId="0" fillId="0" borderId="0" xfId="0" applyAlignment="1">
      <alignment horizontal="left"/>
    </xf>
    <xf numFmtId="0" fontId="4" fillId="0" borderId="0" xfId="0" applyFont="1"/>
    <xf numFmtId="0" fontId="5" fillId="0" borderId="0" xfId="0" applyFont="1"/>
    <xf numFmtId="44" fontId="0" fillId="0" borderId="0" xfId="0" applyNumberFormat="1"/>
    <xf numFmtId="2" fontId="0" fillId="0" borderId="0" xfId="0" applyNumberFormat="1"/>
    <xf numFmtId="1" fontId="0" fillId="0" borderId="0" xfId="0" applyNumberFormat="1"/>
    <xf numFmtId="0" fontId="6" fillId="0" borderId="0" xfId="0" applyFont="1"/>
    <xf numFmtId="0" fontId="0" fillId="0" borderId="0" xfId="0" applyNumberFormat="1"/>
  </cellXfs>
  <cellStyles count="2">
    <cellStyle name="Currency" xfId="1" builtinId="4"/>
    <cellStyle name="Normal" xfId="0" builtinId="0"/>
  </cellStyles>
  <dxfs count="7">
    <dxf>
      <numFmt numFmtId="2" formatCode="0.00"/>
    </dxf>
    <dxf>
      <numFmt numFmtId="1" formatCode="0"/>
    </dxf>
    <dxf>
      <numFmt numFmtId="1" formatCode="0"/>
    </dxf>
    <dxf>
      <numFmt numFmtId="34" formatCode="_-&quot;₦&quot;* #,##0.00_-;\-&quot;₦&quot;* #,##0.00_-;_-&quot;₦&quot;* &quot;-&quot;??_-;_-@_-"/>
    </dxf>
    <dxf>
      <numFmt numFmtId="1" formatCode="0"/>
    </dxf>
    <dxf>
      <numFmt numFmtId="34" formatCode="_-&quot;₦&quot;* #,##0.00_-;\-&quot;₦&quot;* #,##0.00_-;_-&quot;₦&quot;* &quot;-&quot;??_-;_-@_-"/>
    </dxf>
    <dxf>
      <font>
        <b/>
        <i val="0"/>
        <color theme="0"/>
      </font>
      <fill>
        <patternFill>
          <bgColor theme="3" tint="0.79998168889431442"/>
        </patternFill>
      </fill>
    </dxf>
  </dxfs>
  <tableStyles count="1" defaultTableStyle="TableStyleMedium9" defaultPivotStyle="PivotStyleLight16">
    <tableStyle name="Slicer Style 1" pivot="0" table="0" count="4" xr9:uid="{FEFEBD88-E40E-4312-8F89-448104DE5479}">
      <tableStyleElement type="wholeTable" dxfId="6"/>
    </tableStyle>
  </tableStyles>
  <colors>
    <mruColors>
      <color rgb="FF1F1BC3"/>
      <color rgb="FF0A0442"/>
      <color rgb="FF0099CC"/>
      <color rgb="FF1E0CC6"/>
    </mruColors>
  </colors>
  <extLst>
    <ext xmlns:x14="http://schemas.microsoft.com/office/spreadsheetml/2009/9/main" uri="{46F421CA-312F-682f-3DD2-61675219B42D}">
      <x14:dxfs count="3">
        <dxf>
          <font>
            <color theme="0"/>
          </font>
          <fill>
            <patternFill>
              <bgColor rgb="FF002060"/>
            </patternFill>
          </fill>
        </dxf>
        <dxf>
          <font>
            <b/>
            <i val="0"/>
          </font>
          <fill>
            <patternFill>
              <bgColor rgb="FF1F1BC3"/>
            </patternFill>
          </fill>
        </dxf>
        <dxf>
          <font>
            <color theme="0"/>
          </font>
          <fill>
            <patternFill>
              <bgColor rgb="FF0099CC"/>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2.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microsoft.com/office/2007/relationships/slicerCache" Target="slicerCaches/slicerCache6.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microsoft.com/office/2007/relationships/slicerCache" Target="slicerCaches/slicerCache5.xml"/><Relationship Id="rId28" Type="http://schemas.openxmlformats.org/officeDocument/2006/relationships/sharedStrings" Target="sharedStrings.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4.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Which</a:t>
            </a:r>
            <a:r>
              <a:rPr lang="en-US" b="1" baseline="0">
                <a:solidFill>
                  <a:schemeClr val="tx1"/>
                </a:solidFill>
              </a:rPr>
              <a:t> Department has the most Employees?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1'!$B$2</c:f>
              <c:strCache>
                <c:ptCount val="1"/>
                <c:pt idx="0">
                  <c:v>Total</c:v>
                </c:pt>
              </c:strCache>
            </c:strRef>
          </c:tx>
          <c:spPr>
            <a:solidFill>
              <a:srgbClr val="1E0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1'!$A$3:$A$13</c:f>
              <c:strCache>
                <c:ptCount val="10"/>
                <c:pt idx="0">
                  <c:v>Sales</c:v>
                </c:pt>
                <c:pt idx="1">
                  <c:v>Information Technology</c:v>
                </c:pt>
                <c:pt idx="2">
                  <c:v>Marketing</c:v>
                </c:pt>
                <c:pt idx="3">
                  <c:v>Logistics</c:v>
                </c:pt>
                <c:pt idx="4">
                  <c:v>Procurement</c:v>
                </c:pt>
                <c:pt idx="5">
                  <c:v>Customer Service</c:v>
                </c:pt>
                <c:pt idx="6">
                  <c:v>Legal</c:v>
                </c:pt>
                <c:pt idx="7">
                  <c:v>Operations</c:v>
                </c:pt>
                <c:pt idx="8">
                  <c:v>Human Resources</c:v>
                </c:pt>
                <c:pt idx="9">
                  <c:v>Finance</c:v>
                </c:pt>
              </c:strCache>
            </c:strRef>
          </c:cat>
          <c:val>
            <c:numRef>
              <c:f>'Pivot Table 1'!$B$3:$B$13</c:f>
              <c:numCache>
                <c:formatCode>General</c:formatCode>
                <c:ptCount val="10"/>
                <c:pt idx="0">
                  <c:v>82</c:v>
                </c:pt>
                <c:pt idx="1">
                  <c:v>89</c:v>
                </c:pt>
                <c:pt idx="2">
                  <c:v>93</c:v>
                </c:pt>
                <c:pt idx="3">
                  <c:v>94</c:v>
                </c:pt>
                <c:pt idx="4">
                  <c:v>96</c:v>
                </c:pt>
                <c:pt idx="5">
                  <c:v>99</c:v>
                </c:pt>
                <c:pt idx="6">
                  <c:v>100</c:v>
                </c:pt>
                <c:pt idx="7">
                  <c:v>105</c:v>
                </c:pt>
                <c:pt idx="8">
                  <c:v>112</c:v>
                </c:pt>
                <c:pt idx="9">
                  <c:v>115</c:v>
                </c:pt>
              </c:numCache>
            </c:numRef>
          </c:val>
          <c:extLst>
            <c:ext xmlns:c16="http://schemas.microsoft.com/office/drawing/2014/chart" uri="{C3380CC4-5D6E-409C-BE32-E72D297353CC}">
              <c16:uniqueId val="{00000000-E1FF-424C-91E4-EE059DF7E081}"/>
            </c:ext>
          </c:extLst>
        </c:ser>
        <c:dLbls>
          <c:dLblPos val="outEnd"/>
          <c:showLegendKey val="0"/>
          <c:showVal val="1"/>
          <c:showCatName val="0"/>
          <c:showSerName val="0"/>
          <c:showPercent val="0"/>
          <c:showBubbleSize val="0"/>
        </c:dLbls>
        <c:gapWidth val="182"/>
        <c:axId val="667157119"/>
        <c:axId val="667144639"/>
      </c:barChart>
      <c:catAx>
        <c:axId val="667157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67144639"/>
        <c:crosses val="autoZero"/>
        <c:auto val="1"/>
        <c:lblAlgn val="ctr"/>
        <c:lblOffset val="100"/>
        <c:noMultiLvlLbl val="0"/>
      </c:catAx>
      <c:valAx>
        <c:axId val="667144639"/>
        <c:scaling>
          <c:orientation val="minMax"/>
        </c:scaling>
        <c:delete val="1"/>
        <c:axPos val="b"/>
        <c:numFmt formatCode="General" sourceLinked="1"/>
        <c:majorTickMark val="none"/>
        <c:minorTickMark val="none"/>
        <c:tickLblPos val="nextTo"/>
        <c:crossAx val="667157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Which</a:t>
            </a:r>
            <a:r>
              <a:rPr lang="en-US" b="1" baseline="0">
                <a:solidFill>
                  <a:schemeClr val="tx1"/>
                </a:solidFill>
              </a:rPr>
              <a:t> City has the most Staff</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1'!$B$16</c:f>
              <c:strCache>
                <c:ptCount val="1"/>
                <c:pt idx="0">
                  <c:v>Total</c:v>
                </c:pt>
              </c:strCache>
            </c:strRef>
          </c:tx>
          <c:spPr>
            <a:solidFill>
              <a:srgbClr val="1E0CC6"/>
            </a:solidFill>
            <a:ln>
              <a:noFill/>
            </a:ln>
            <a:effectLst/>
          </c:spPr>
          <c:invertIfNegative val="0"/>
          <c:cat>
            <c:strRef>
              <c:f>'Pivot Table 1'!$A$17:$A$22</c:f>
              <c:strCache>
                <c:ptCount val="5"/>
                <c:pt idx="0">
                  <c:v>Ibadan</c:v>
                </c:pt>
                <c:pt idx="1">
                  <c:v>Lagos</c:v>
                </c:pt>
                <c:pt idx="2">
                  <c:v>Port Harcourt</c:v>
                </c:pt>
                <c:pt idx="3">
                  <c:v>Abuja</c:v>
                </c:pt>
                <c:pt idx="4">
                  <c:v>Kano</c:v>
                </c:pt>
              </c:strCache>
            </c:strRef>
          </c:cat>
          <c:val>
            <c:numRef>
              <c:f>'Pivot Table 1'!$B$17:$B$22</c:f>
              <c:numCache>
                <c:formatCode>General</c:formatCode>
                <c:ptCount val="5"/>
                <c:pt idx="0">
                  <c:v>215</c:v>
                </c:pt>
                <c:pt idx="1">
                  <c:v>204</c:v>
                </c:pt>
                <c:pt idx="2">
                  <c:v>200</c:v>
                </c:pt>
                <c:pt idx="3">
                  <c:v>192</c:v>
                </c:pt>
                <c:pt idx="4">
                  <c:v>174</c:v>
                </c:pt>
              </c:numCache>
            </c:numRef>
          </c:val>
          <c:extLst>
            <c:ext xmlns:c16="http://schemas.microsoft.com/office/drawing/2014/chart" uri="{C3380CC4-5D6E-409C-BE32-E72D297353CC}">
              <c16:uniqueId val="{00000000-CC96-44AF-9180-8F025AD7A10B}"/>
            </c:ext>
          </c:extLst>
        </c:ser>
        <c:dLbls>
          <c:showLegendKey val="0"/>
          <c:showVal val="0"/>
          <c:showCatName val="0"/>
          <c:showSerName val="0"/>
          <c:showPercent val="0"/>
          <c:showBubbleSize val="0"/>
        </c:dLbls>
        <c:gapWidth val="219"/>
        <c:overlap val="-27"/>
        <c:axId val="667145599"/>
        <c:axId val="667135519"/>
      </c:barChart>
      <c:catAx>
        <c:axId val="66714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67135519"/>
        <c:crosses val="autoZero"/>
        <c:auto val="1"/>
        <c:lblAlgn val="ctr"/>
        <c:lblOffset val="100"/>
        <c:noMultiLvlLbl val="0"/>
      </c:catAx>
      <c:valAx>
        <c:axId val="66713551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6714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1!PivotTable3</c:name>
    <c:fmtId val="22"/>
  </c:pivotSource>
  <c:chart>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1'!$B$25:$B$26</c:f>
              <c:strCache>
                <c:ptCount val="1"/>
                <c:pt idx="0">
                  <c:v>Female</c:v>
                </c:pt>
              </c:strCache>
            </c:strRef>
          </c:tx>
          <c:spPr>
            <a:solidFill>
              <a:srgbClr val="1E0CC6"/>
            </a:solidFill>
            <a:ln>
              <a:noFill/>
            </a:ln>
            <a:effectLst/>
          </c:spPr>
          <c:invertIfNegative val="0"/>
          <c:cat>
            <c:strRef>
              <c:f>'Pivot Table 1'!$A$27:$A$37</c:f>
              <c:strCache>
                <c:ptCount val="10"/>
                <c:pt idx="0">
                  <c:v>Sales</c:v>
                </c:pt>
                <c:pt idx="1">
                  <c:v>Information Technology</c:v>
                </c:pt>
                <c:pt idx="2">
                  <c:v>Marketing</c:v>
                </c:pt>
                <c:pt idx="3">
                  <c:v>Logistics</c:v>
                </c:pt>
                <c:pt idx="4">
                  <c:v>Procurement</c:v>
                </c:pt>
                <c:pt idx="5">
                  <c:v>Customer Service</c:v>
                </c:pt>
                <c:pt idx="6">
                  <c:v>Legal</c:v>
                </c:pt>
                <c:pt idx="7">
                  <c:v>Operations</c:v>
                </c:pt>
                <c:pt idx="8">
                  <c:v>Human Resources</c:v>
                </c:pt>
                <c:pt idx="9">
                  <c:v>Finance</c:v>
                </c:pt>
              </c:strCache>
            </c:strRef>
          </c:cat>
          <c:val>
            <c:numRef>
              <c:f>'Pivot Table 1'!$B$27:$B$37</c:f>
              <c:numCache>
                <c:formatCode>General</c:formatCode>
                <c:ptCount val="10"/>
                <c:pt idx="0">
                  <c:v>52</c:v>
                </c:pt>
                <c:pt idx="1">
                  <c:v>64</c:v>
                </c:pt>
                <c:pt idx="2">
                  <c:v>51</c:v>
                </c:pt>
                <c:pt idx="3">
                  <c:v>65</c:v>
                </c:pt>
                <c:pt idx="4">
                  <c:v>52</c:v>
                </c:pt>
                <c:pt idx="5">
                  <c:v>65</c:v>
                </c:pt>
                <c:pt idx="6">
                  <c:v>66</c:v>
                </c:pt>
                <c:pt idx="7">
                  <c:v>66</c:v>
                </c:pt>
                <c:pt idx="8">
                  <c:v>64</c:v>
                </c:pt>
                <c:pt idx="9">
                  <c:v>74</c:v>
                </c:pt>
              </c:numCache>
            </c:numRef>
          </c:val>
          <c:extLst>
            <c:ext xmlns:c16="http://schemas.microsoft.com/office/drawing/2014/chart" uri="{C3380CC4-5D6E-409C-BE32-E72D297353CC}">
              <c16:uniqueId val="{00000000-E479-4732-B78E-0DA5662BA127}"/>
            </c:ext>
          </c:extLst>
        </c:ser>
        <c:ser>
          <c:idx val="1"/>
          <c:order val="1"/>
          <c:tx>
            <c:strRef>
              <c:f>'Pivot Table 1'!$C$25:$C$26</c:f>
              <c:strCache>
                <c:ptCount val="1"/>
                <c:pt idx="0">
                  <c:v>Male</c:v>
                </c:pt>
              </c:strCache>
            </c:strRef>
          </c:tx>
          <c:spPr>
            <a:solidFill>
              <a:srgbClr val="00B0F0"/>
            </a:solidFill>
            <a:ln>
              <a:noFill/>
            </a:ln>
            <a:effectLst/>
          </c:spPr>
          <c:invertIfNegative val="0"/>
          <c:cat>
            <c:strRef>
              <c:f>'Pivot Table 1'!$A$27:$A$37</c:f>
              <c:strCache>
                <c:ptCount val="10"/>
                <c:pt idx="0">
                  <c:v>Sales</c:v>
                </c:pt>
                <c:pt idx="1">
                  <c:v>Information Technology</c:v>
                </c:pt>
                <c:pt idx="2">
                  <c:v>Marketing</c:v>
                </c:pt>
                <c:pt idx="3">
                  <c:v>Logistics</c:v>
                </c:pt>
                <c:pt idx="4">
                  <c:v>Procurement</c:v>
                </c:pt>
                <c:pt idx="5">
                  <c:v>Customer Service</c:v>
                </c:pt>
                <c:pt idx="6">
                  <c:v>Legal</c:v>
                </c:pt>
                <c:pt idx="7">
                  <c:v>Operations</c:v>
                </c:pt>
                <c:pt idx="8">
                  <c:v>Human Resources</c:v>
                </c:pt>
                <c:pt idx="9">
                  <c:v>Finance</c:v>
                </c:pt>
              </c:strCache>
            </c:strRef>
          </c:cat>
          <c:val>
            <c:numRef>
              <c:f>'Pivot Table 1'!$C$27:$C$37</c:f>
              <c:numCache>
                <c:formatCode>General</c:formatCode>
                <c:ptCount val="10"/>
                <c:pt idx="0">
                  <c:v>30</c:v>
                </c:pt>
                <c:pt idx="1">
                  <c:v>25</c:v>
                </c:pt>
                <c:pt idx="2">
                  <c:v>42</c:v>
                </c:pt>
                <c:pt idx="3">
                  <c:v>29</c:v>
                </c:pt>
                <c:pt idx="4">
                  <c:v>44</c:v>
                </c:pt>
                <c:pt idx="5">
                  <c:v>34</c:v>
                </c:pt>
                <c:pt idx="6">
                  <c:v>34</c:v>
                </c:pt>
                <c:pt idx="7">
                  <c:v>39</c:v>
                </c:pt>
                <c:pt idx="8">
                  <c:v>48</c:v>
                </c:pt>
                <c:pt idx="9">
                  <c:v>41</c:v>
                </c:pt>
              </c:numCache>
            </c:numRef>
          </c:val>
          <c:extLst>
            <c:ext xmlns:c16="http://schemas.microsoft.com/office/drawing/2014/chart" uri="{C3380CC4-5D6E-409C-BE32-E72D297353CC}">
              <c16:uniqueId val="{00000000-9326-4340-B63F-719B2B6E79DD}"/>
            </c:ext>
          </c:extLst>
        </c:ser>
        <c:dLbls>
          <c:showLegendKey val="0"/>
          <c:showVal val="0"/>
          <c:showCatName val="0"/>
          <c:showSerName val="0"/>
          <c:showPercent val="0"/>
          <c:showBubbleSize val="0"/>
        </c:dLbls>
        <c:gapWidth val="182"/>
        <c:axId val="673048367"/>
        <c:axId val="673055087"/>
      </c:barChart>
      <c:catAx>
        <c:axId val="673048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73055087"/>
        <c:crosses val="autoZero"/>
        <c:auto val="1"/>
        <c:lblAlgn val="ctr"/>
        <c:lblOffset val="100"/>
        <c:noMultiLvlLbl val="0"/>
      </c:catAx>
      <c:valAx>
        <c:axId val="6730550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73048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1!PivotTable4</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E0CC6"/>
                </a:solidFill>
              </a:rPr>
              <a:t>What is the qualification profile of the workforce?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1'!$B$40</c:f>
              <c:strCache>
                <c:ptCount val="1"/>
                <c:pt idx="0">
                  <c:v>Total</c:v>
                </c:pt>
              </c:strCache>
            </c:strRef>
          </c:tx>
          <c:spPr>
            <a:solidFill>
              <a:srgbClr val="1E0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1'!$A$41:$A$46</c:f>
              <c:strCache>
                <c:ptCount val="5"/>
                <c:pt idx="0">
                  <c:v>MSc</c:v>
                </c:pt>
                <c:pt idx="1">
                  <c:v>B.Sc</c:v>
                </c:pt>
                <c:pt idx="2">
                  <c:v>PhD</c:v>
                </c:pt>
                <c:pt idx="3">
                  <c:v>HND</c:v>
                </c:pt>
                <c:pt idx="4">
                  <c:v>OND</c:v>
                </c:pt>
              </c:strCache>
            </c:strRef>
          </c:cat>
          <c:val>
            <c:numRef>
              <c:f>'Pivot Table 1'!$B$41:$B$46</c:f>
              <c:numCache>
                <c:formatCode>General</c:formatCode>
                <c:ptCount val="5"/>
                <c:pt idx="0">
                  <c:v>262</c:v>
                </c:pt>
                <c:pt idx="1">
                  <c:v>250</c:v>
                </c:pt>
                <c:pt idx="2">
                  <c:v>202</c:v>
                </c:pt>
                <c:pt idx="3">
                  <c:v>140</c:v>
                </c:pt>
                <c:pt idx="4">
                  <c:v>131</c:v>
                </c:pt>
              </c:numCache>
            </c:numRef>
          </c:val>
          <c:extLst>
            <c:ext xmlns:c16="http://schemas.microsoft.com/office/drawing/2014/chart" uri="{C3380CC4-5D6E-409C-BE32-E72D297353CC}">
              <c16:uniqueId val="{00000000-ECC1-4945-BA73-1465A5368854}"/>
            </c:ext>
          </c:extLst>
        </c:ser>
        <c:dLbls>
          <c:dLblPos val="outEnd"/>
          <c:showLegendKey val="0"/>
          <c:showVal val="1"/>
          <c:showCatName val="0"/>
          <c:showSerName val="0"/>
          <c:showPercent val="0"/>
          <c:showBubbleSize val="0"/>
        </c:dLbls>
        <c:gapWidth val="219"/>
        <c:overlap val="-27"/>
        <c:axId val="673038287"/>
        <c:axId val="673039727"/>
      </c:barChart>
      <c:catAx>
        <c:axId val="67303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673039727"/>
        <c:crosses val="autoZero"/>
        <c:auto val="1"/>
        <c:lblAlgn val="ctr"/>
        <c:lblOffset val="100"/>
        <c:noMultiLvlLbl val="0"/>
      </c:catAx>
      <c:valAx>
        <c:axId val="673039727"/>
        <c:scaling>
          <c:orientation val="minMax"/>
        </c:scaling>
        <c:delete val="1"/>
        <c:axPos val="l"/>
        <c:numFmt formatCode="General" sourceLinked="1"/>
        <c:majorTickMark val="none"/>
        <c:minorTickMark val="none"/>
        <c:tickLblPos val="nextTo"/>
        <c:crossAx val="673038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1!PivotTable5</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rgbClr val="1E0CC6"/>
                </a:solidFill>
              </a:rPr>
              <a:t>What</a:t>
            </a:r>
            <a:r>
              <a:rPr lang="en-US" sz="1100" b="1" baseline="0">
                <a:solidFill>
                  <a:srgbClr val="1E0CC6"/>
                </a:solidFill>
              </a:rPr>
              <a:t> Proportion of staff are Full Time vs Part Time vs Contract vs Intern</a:t>
            </a:r>
            <a:endParaRPr lang="en-US" sz="1100" b="1">
              <a:solidFill>
                <a:srgbClr val="1E0CC6"/>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 Table 1'!$B$49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2EF-40E2-A078-3A1445B840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2EF-40E2-A078-3A1445B840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2EF-40E2-A078-3A1445B840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2-41C8-439C-A664-EEEF03188A3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 1'!$A$50:$A$54</c:f>
              <c:strCache>
                <c:ptCount val="4"/>
                <c:pt idx="0">
                  <c:v>Intern</c:v>
                </c:pt>
                <c:pt idx="1">
                  <c:v>Contract</c:v>
                </c:pt>
                <c:pt idx="2">
                  <c:v>Full Time</c:v>
                </c:pt>
                <c:pt idx="3">
                  <c:v>Part Time</c:v>
                </c:pt>
              </c:strCache>
            </c:strRef>
          </c:cat>
          <c:val>
            <c:numRef>
              <c:f>'Pivot Table 1'!$B$50:$B$54</c:f>
              <c:numCache>
                <c:formatCode>General</c:formatCode>
                <c:ptCount val="4"/>
                <c:pt idx="0">
                  <c:v>200</c:v>
                </c:pt>
                <c:pt idx="1">
                  <c:v>219</c:v>
                </c:pt>
                <c:pt idx="2">
                  <c:v>267</c:v>
                </c:pt>
                <c:pt idx="3">
                  <c:v>299</c:v>
                </c:pt>
              </c:numCache>
            </c:numRef>
          </c:val>
          <c:extLst>
            <c:ext xmlns:c16="http://schemas.microsoft.com/office/drawing/2014/chart" uri="{C3380CC4-5D6E-409C-BE32-E72D297353CC}">
              <c16:uniqueId val="{00000000-41C8-439C-A664-EEEF03188A33}"/>
            </c:ext>
          </c:extLst>
        </c:ser>
        <c:dLbls>
          <c:showLegendKey val="0"/>
          <c:showVal val="0"/>
          <c:showCatName val="0"/>
          <c:showSerName val="0"/>
          <c:showPercent val="0"/>
          <c:showBubbleSize val="0"/>
          <c:showLeaderLines val="0"/>
        </c:dLbls>
        <c:firstSliceAng val="0"/>
        <c:holeSize val="63"/>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E0CC6"/>
                </a:solidFill>
              </a:rPr>
              <a:t>Which</a:t>
            </a:r>
            <a:r>
              <a:rPr lang="en-US" sz="1200" b="1" baseline="0">
                <a:solidFill>
                  <a:srgbClr val="1E0CC6"/>
                </a:solidFill>
              </a:rPr>
              <a:t> Department has the most Employees?</a:t>
            </a:r>
            <a:endParaRPr lang="en-US" sz="1200" b="1">
              <a:solidFill>
                <a:srgbClr val="1E0CC6"/>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1'!$B$2</c:f>
              <c:strCache>
                <c:ptCount val="1"/>
                <c:pt idx="0">
                  <c:v>Total</c:v>
                </c:pt>
              </c:strCache>
            </c:strRef>
          </c:tx>
          <c:spPr>
            <a:solidFill>
              <a:srgbClr val="1E0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1'!$A$3:$A$13</c:f>
              <c:strCache>
                <c:ptCount val="10"/>
                <c:pt idx="0">
                  <c:v>Sales</c:v>
                </c:pt>
                <c:pt idx="1">
                  <c:v>Information Technology</c:v>
                </c:pt>
                <c:pt idx="2">
                  <c:v>Marketing</c:v>
                </c:pt>
                <c:pt idx="3">
                  <c:v>Logistics</c:v>
                </c:pt>
                <c:pt idx="4">
                  <c:v>Procurement</c:v>
                </c:pt>
                <c:pt idx="5">
                  <c:v>Customer Service</c:v>
                </c:pt>
                <c:pt idx="6">
                  <c:v>Legal</c:v>
                </c:pt>
                <c:pt idx="7">
                  <c:v>Operations</c:v>
                </c:pt>
                <c:pt idx="8">
                  <c:v>Human Resources</c:v>
                </c:pt>
                <c:pt idx="9">
                  <c:v>Finance</c:v>
                </c:pt>
              </c:strCache>
            </c:strRef>
          </c:cat>
          <c:val>
            <c:numRef>
              <c:f>'Pivot Table 1'!$B$3:$B$13</c:f>
              <c:numCache>
                <c:formatCode>General</c:formatCode>
                <c:ptCount val="10"/>
                <c:pt idx="0">
                  <c:v>82</c:v>
                </c:pt>
                <c:pt idx="1">
                  <c:v>89</c:v>
                </c:pt>
                <c:pt idx="2">
                  <c:v>93</c:v>
                </c:pt>
                <c:pt idx="3">
                  <c:v>94</c:v>
                </c:pt>
                <c:pt idx="4">
                  <c:v>96</c:v>
                </c:pt>
                <c:pt idx="5">
                  <c:v>99</c:v>
                </c:pt>
                <c:pt idx="6">
                  <c:v>100</c:v>
                </c:pt>
                <c:pt idx="7">
                  <c:v>105</c:v>
                </c:pt>
                <c:pt idx="8">
                  <c:v>112</c:v>
                </c:pt>
                <c:pt idx="9">
                  <c:v>115</c:v>
                </c:pt>
              </c:numCache>
            </c:numRef>
          </c:val>
          <c:extLst>
            <c:ext xmlns:c16="http://schemas.microsoft.com/office/drawing/2014/chart" uri="{C3380CC4-5D6E-409C-BE32-E72D297353CC}">
              <c16:uniqueId val="{00000000-A571-4F45-8EF1-4C44D47FD9EB}"/>
            </c:ext>
          </c:extLst>
        </c:ser>
        <c:dLbls>
          <c:dLblPos val="outEnd"/>
          <c:showLegendKey val="0"/>
          <c:showVal val="1"/>
          <c:showCatName val="0"/>
          <c:showSerName val="0"/>
          <c:showPercent val="0"/>
          <c:showBubbleSize val="0"/>
        </c:dLbls>
        <c:gapWidth val="182"/>
        <c:axId val="667157119"/>
        <c:axId val="667144639"/>
      </c:barChart>
      <c:catAx>
        <c:axId val="667157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67144639"/>
        <c:crosses val="autoZero"/>
        <c:auto val="1"/>
        <c:lblAlgn val="ctr"/>
        <c:lblOffset val="100"/>
        <c:noMultiLvlLbl val="0"/>
      </c:catAx>
      <c:valAx>
        <c:axId val="667144639"/>
        <c:scaling>
          <c:orientation val="minMax"/>
        </c:scaling>
        <c:delete val="1"/>
        <c:axPos val="b"/>
        <c:numFmt formatCode="General" sourceLinked="1"/>
        <c:majorTickMark val="none"/>
        <c:minorTickMark val="none"/>
        <c:tickLblPos val="nextTo"/>
        <c:crossAx val="667157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1!PivotTable3</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E0CC6"/>
                </a:solidFill>
              </a:rPr>
              <a:t>Is there Gender balance across departments?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1'!$B$25:$B$26</c:f>
              <c:strCache>
                <c:ptCount val="1"/>
                <c:pt idx="0">
                  <c:v>Female</c:v>
                </c:pt>
              </c:strCache>
            </c:strRef>
          </c:tx>
          <c:spPr>
            <a:solidFill>
              <a:srgbClr val="1E0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1'!$A$27:$A$37</c:f>
              <c:strCache>
                <c:ptCount val="10"/>
                <c:pt idx="0">
                  <c:v>Sales</c:v>
                </c:pt>
                <c:pt idx="1">
                  <c:v>Information Technology</c:v>
                </c:pt>
                <c:pt idx="2">
                  <c:v>Marketing</c:v>
                </c:pt>
                <c:pt idx="3">
                  <c:v>Logistics</c:v>
                </c:pt>
                <c:pt idx="4">
                  <c:v>Procurement</c:v>
                </c:pt>
                <c:pt idx="5">
                  <c:v>Customer Service</c:v>
                </c:pt>
                <c:pt idx="6">
                  <c:v>Legal</c:v>
                </c:pt>
                <c:pt idx="7">
                  <c:v>Operations</c:v>
                </c:pt>
                <c:pt idx="8">
                  <c:v>Human Resources</c:v>
                </c:pt>
                <c:pt idx="9">
                  <c:v>Finance</c:v>
                </c:pt>
              </c:strCache>
            </c:strRef>
          </c:cat>
          <c:val>
            <c:numRef>
              <c:f>'Pivot Table 1'!$B$27:$B$37</c:f>
              <c:numCache>
                <c:formatCode>General</c:formatCode>
                <c:ptCount val="10"/>
                <c:pt idx="0">
                  <c:v>52</c:v>
                </c:pt>
                <c:pt idx="1">
                  <c:v>64</c:v>
                </c:pt>
                <c:pt idx="2">
                  <c:v>51</c:v>
                </c:pt>
                <c:pt idx="3">
                  <c:v>65</c:v>
                </c:pt>
                <c:pt idx="4">
                  <c:v>52</c:v>
                </c:pt>
                <c:pt idx="5">
                  <c:v>65</c:v>
                </c:pt>
                <c:pt idx="6">
                  <c:v>66</c:v>
                </c:pt>
                <c:pt idx="7">
                  <c:v>66</c:v>
                </c:pt>
                <c:pt idx="8">
                  <c:v>64</c:v>
                </c:pt>
                <c:pt idx="9">
                  <c:v>74</c:v>
                </c:pt>
              </c:numCache>
            </c:numRef>
          </c:val>
          <c:extLst>
            <c:ext xmlns:c16="http://schemas.microsoft.com/office/drawing/2014/chart" uri="{C3380CC4-5D6E-409C-BE32-E72D297353CC}">
              <c16:uniqueId val="{00000000-4BE3-4964-B777-6506331C5F7E}"/>
            </c:ext>
          </c:extLst>
        </c:ser>
        <c:ser>
          <c:idx val="1"/>
          <c:order val="1"/>
          <c:tx>
            <c:strRef>
              <c:f>'Pivot Table 1'!$C$25:$C$26</c:f>
              <c:strCache>
                <c:ptCount val="1"/>
                <c:pt idx="0">
                  <c:v>Male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1'!$A$27:$A$37</c:f>
              <c:strCache>
                <c:ptCount val="10"/>
                <c:pt idx="0">
                  <c:v>Sales</c:v>
                </c:pt>
                <c:pt idx="1">
                  <c:v>Information Technology</c:v>
                </c:pt>
                <c:pt idx="2">
                  <c:v>Marketing</c:v>
                </c:pt>
                <c:pt idx="3">
                  <c:v>Logistics</c:v>
                </c:pt>
                <c:pt idx="4">
                  <c:v>Procurement</c:v>
                </c:pt>
                <c:pt idx="5">
                  <c:v>Customer Service</c:v>
                </c:pt>
                <c:pt idx="6">
                  <c:v>Legal</c:v>
                </c:pt>
                <c:pt idx="7">
                  <c:v>Operations</c:v>
                </c:pt>
                <c:pt idx="8">
                  <c:v>Human Resources</c:v>
                </c:pt>
                <c:pt idx="9">
                  <c:v>Finance</c:v>
                </c:pt>
              </c:strCache>
            </c:strRef>
          </c:cat>
          <c:val>
            <c:numRef>
              <c:f>'Pivot Table 1'!$C$27:$C$37</c:f>
              <c:numCache>
                <c:formatCode>General</c:formatCode>
                <c:ptCount val="10"/>
                <c:pt idx="0">
                  <c:v>30</c:v>
                </c:pt>
                <c:pt idx="1">
                  <c:v>25</c:v>
                </c:pt>
                <c:pt idx="2">
                  <c:v>42</c:v>
                </c:pt>
                <c:pt idx="3">
                  <c:v>29</c:v>
                </c:pt>
                <c:pt idx="4">
                  <c:v>44</c:v>
                </c:pt>
                <c:pt idx="5">
                  <c:v>34</c:v>
                </c:pt>
                <c:pt idx="6">
                  <c:v>34</c:v>
                </c:pt>
                <c:pt idx="7">
                  <c:v>39</c:v>
                </c:pt>
                <c:pt idx="8">
                  <c:v>48</c:v>
                </c:pt>
                <c:pt idx="9">
                  <c:v>41</c:v>
                </c:pt>
              </c:numCache>
            </c:numRef>
          </c:val>
          <c:extLst>
            <c:ext xmlns:c16="http://schemas.microsoft.com/office/drawing/2014/chart" uri="{C3380CC4-5D6E-409C-BE32-E72D297353CC}">
              <c16:uniqueId val="{00000001-4AEA-45A3-8D48-425CF7D426F9}"/>
            </c:ext>
          </c:extLst>
        </c:ser>
        <c:dLbls>
          <c:dLblPos val="outEnd"/>
          <c:showLegendKey val="0"/>
          <c:showVal val="1"/>
          <c:showCatName val="0"/>
          <c:showSerName val="0"/>
          <c:showPercent val="0"/>
          <c:showBubbleSize val="0"/>
        </c:dLbls>
        <c:gapWidth val="182"/>
        <c:axId val="673048367"/>
        <c:axId val="673055087"/>
      </c:barChart>
      <c:catAx>
        <c:axId val="673048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73055087"/>
        <c:crosses val="autoZero"/>
        <c:auto val="1"/>
        <c:lblAlgn val="ctr"/>
        <c:lblOffset val="100"/>
        <c:noMultiLvlLbl val="0"/>
      </c:catAx>
      <c:valAx>
        <c:axId val="673055087"/>
        <c:scaling>
          <c:orientation val="minMax"/>
        </c:scaling>
        <c:delete val="1"/>
        <c:axPos val="b"/>
        <c:numFmt formatCode="General" sourceLinked="1"/>
        <c:majorTickMark val="none"/>
        <c:minorTickMark val="none"/>
        <c:tickLblPos val="nextTo"/>
        <c:crossAx val="673048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1E0CC6"/>
                </a:solidFill>
              </a:rPr>
              <a:t>Which</a:t>
            </a:r>
            <a:r>
              <a:rPr lang="en-US" b="1" baseline="0">
                <a:solidFill>
                  <a:srgbClr val="1E0CC6"/>
                </a:solidFill>
              </a:rPr>
              <a:t> City has the most Staff?</a:t>
            </a:r>
            <a:endParaRPr lang="en-US" b="1">
              <a:solidFill>
                <a:srgbClr val="1E0CC6"/>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1'!$B$16</c:f>
              <c:strCache>
                <c:ptCount val="1"/>
                <c:pt idx="0">
                  <c:v>Total</c:v>
                </c:pt>
              </c:strCache>
            </c:strRef>
          </c:tx>
          <c:spPr>
            <a:solidFill>
              <a:srgbClr val="1E0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1'!$A$17:$A$22</c:f>
              <c:strCache>
                <c:ptCount val="5"/>
                <c:pt idx="0">
                  <c:v>Ibadan</c:v>
                </c:pt>
                <c:pt idx="1">
                  <c:v>Lagos</c:v>
                </c:pt>
                <c:pt idx="2">
                  <c:v>Port Harcourt</c:v>
                </c:pt>
                <c:pt idx="3">
                  <c:v>Abuja</c:v>
                </c:pt>
                <c:pt idx="4">
                  <c:v>Kano</c:v>
                </c:pt>
              </c:strCache>
            </c:strRef>
          </c:cat>
          <c:val>
            <c:numRef>
              <c:f>'Pivot Table 1'!$B$17:$B$22</c:f>
              <c:numCache>
                <c:formatCode>General</c:formatCode>
                <c:ptCount val="5"/>
                <c:pt idx="0">
                  <c:v>215</c:v>
                </c:pt>
                <c:pt idx="1">
                  <c:v>204</c:v>
                </c:pt>
                <c:pt idx="2">
                  <c:v>200</c:v>
                </c:pt>
                <c:pt idx="3">
                  <c:v>192</c:v>
                </c:pt>
                <c:pt idx="4">
                  <c:v>174</c:v>
                </c:pt>
              </c:numCache>
            </c:numRef>
          </c:val>
          <c:extLst>
            <c:ext xmlns:c16="http://schemas.microsoft.com/office/drawing/2014/chart" uri="{C3380CC4-5D6E-409C-BE32-E72D297353CC}">
              <c16:uniqueId val="{00000000-B5A8-4EB4-BF12-79D8A248A386}"/>
            </c:ext>
          </c:extLst>
        </c:ser>
        <c:dLbls>
          <c:dLblPos val="outEnd"/>
          <c:showLegendKey val="0"/>
          <c:showVal val="1"/>
          <c:showCatName val="0"/>
          <c:showSerName val="0"/>
          <c:showPercent val="0"/>
          <c:showBubbleSize val="0"/>
        </c:dLbls>
        <c:gapWidth val="219"/>
        <c:overlap val="-27"/>
        <c:axId val="667145599"/>
        <c:axId val="667135519"/>
      </c:barChart>
      <c:catAx>
        <c:axId val="66714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67135519"/>
        <c:crosses val="autoZero"/>
        <c:auto val="1"/>
        <c:lblAlgn val="ctr"/>
        <c:lblOffset val="100"/>
        <c:noMultiLvlLbl val="0"/>
      </c:catAx>
      <c:valAx>
        <c:axId val="66713551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6714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1!PivotTable5</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rgbClr val="1E0CC6"/>
                </a:solidFill>
              </a:rPr>
              <a:t>What</a:t>
            </a:r>
            <a:r>
              <a:rPr lang="en-US" sz="1400" b="1" baseline="0">
                <a:solidFill>
                  <a:srgbClr val="1E0CC6"/>
                </a:solidFill>
              </a:rPr>
              <a:t> Proportion of staff are Full Time vs Part Time vs Contract vs Intern</a:t>
            </a:r>
            <a:endParaRPr lang="en-US" sz="1400" b="1">
              <a:solidFill>
                <a:srgbClr val="1E0CC6"/>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w="19050">
            <a:solidFill>
              <a:schemeClr val="lt1"/>
            </a:solidFill>
          </a:ln>
          <a:effectLst/>
        </c:spPr>
      </c:pivotFmt>
      <c:pivotFmt>
        <c:idx val="8"/>
        <c:spPr>
          <a:solidFill>
            <a:schemeClr val="tx2">
              <a:lumMod val="60000"/>
              <a:lumOff val="40000"/>
            </a:schemeClr>
          </a:solidFill>
          <a:ln w="19050">
            <a:solidFill>
              <a:schemeClr val="lt1"/>
            </a:solidFill>
          </a:ln>
          <a:effectLst/>
        </c:spPr>
      </c:pivotFmt>
      <c:pivotFmt>
        <c:idx val="9"/>
        <c:spPr>
          <a:solidFill>
            <a:srgbClr val="0A0442"/>
          </a:solidFill>
          <a:ln w="19050">
            <a:solidFill>
              <a:schemeClr val="lt1"/>
            </a:solidFill>
          </a:ln>
          <a:effectLst/>
        </c:spPr>
      </c:pivotFmt>
      <c:pivotFmt>
        <c:idx val="10"/>
        <c:spPr>
          <a:solidFill>
            <a:srgbClr val="1E0CC6"/>
          </a:solidFill>
          <a:ln w="19050">
            <a:solidFill>
              <a:schemeClr val="lt1"/>
            </a:solidFill>
          </a:ln>
          <a:effectLst/>
        </c:spPr>
      </c:pivotFmt>
    </c:pivotFmts>
    <c:plotArea>
      <c:layout>
        <c:manualLayout>
          <c:layoutTarget val="inner"/>
          <c:xMode val="edge"/>
          <c:yMode val="edge"/>
          <c:x val="0.32465306737914496"/>
          <c:y val="0.21551618547681545"/>
          <c:w val="0.39557716865284126"/>
          <c:h val="0.61204578594342385"/>
        </c:manualLayout>
      </c:layout>
      <c:doughnutChart>
        <c:varyColors val="1"/>
        <c:ser>
          <c:idx val="0"/>
          <c:order val="0"/>
          <c:tx>
            <c:strRef>
              <c:f>'Pivot Table 1'!$B$49</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CC73-4B41-9CA4-F236FF3A4846}"/>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CC73-4B41-9CA4-F236FF3A4846}"/>
              </c:ext>
            </c:extLst>
          </c:dPt>
          <c:dPt>
            <c:idx val="2"/>
            <c:bubble3D val="0"/>
            <c:spPr>
              <a:solidFill>
                <a:srgbClr val="0A0442"/>
              </a:solidFill>
              <a:ln w="19050">
                <a:solidFill>
                  <a:schemeClr val="lt1"/>
                </a:solidFill>
              </a:ln>
              <a:effectLst/>
            </c:spPr>
            <c:extLst>
              <c:ext xmlns:c16="http://schemas.microsoft.com/office/drawing/2014/chart" uri="{C3380CC4-5D6E-409C-BE32-E72D297353CC}">
                <c16:uniqueId val="{00000005-CC73-4B41-9CA4-F236FF3A4846}"/>
              </c:ext>
            </c:extLst>
          </c:dPt>
          <c:dPt>
            <c:idx val="3"/>
            <c:bubble3D val="0"/>
            <c:spPr>
              <a:solidFill>
                <a:srgbClr val="1E0CC6"/>
              </a:solidFill>
              <a:ln w="19050">
                <a:solidFill>
                  <a:schemeClr val="lt1"/>
                </a:solidFill>
              </a:ln>
              <a:effectLst/>
            </c:spPr>
            <c:extLst>
              <c:ext xmlns:c16="http://schemas.microsoft.com/office/drawing/2014/chart" uri="{C3380CC4-5D6E-409C-BE32-E72D297353CC}">
                <c16:uniqueId val="{00000007-CC73-4B41-9CA4-F236FF3A4846}"/>
              </c:ext>
            </c:extLst>
          </c:dPt>
          <c:dLbls>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solidFill>
                  <a:round/>
                  <a:headEnd type="none" w="lg" len="med"/>
                  <a:tailEnd type="none"/>
                </a:ln>
                <a:effectLst/>
              </c:spPr>
            </c:leaderLines>
            <c:extLst>
              <c:ext xmlns:c15="http://schemas.microsoft.com/office/drawing/2012/chart" uri="{CE6537A1-D6FC-4f65-9D91-7224C49458BB}"/>
            </c:extLst>
          </c:dLbls>
          <c:cat>
            <c:strRef>
              <c:f>'Pivot Table 1'!$A$50:$A$54</c:f>
              <c:strCache>
                <c:ptCount val="4"/>
                <c:pt idx="0">
                  <c:v>Intern</c:v>
                </c:pt>
                <c:pt idx="1">
                  <c:v>Contract</c:v>
                </c:pt>
                <c:pt idx="2">
                  <c:v>Full Time</c:v>
                </c:pt>
                <c:pt idx="3">
                  <c:v>Part Time</c:v>
                </c:pt>
              </c:strCache>
            </c:strRef>
          </c:cat>
          <c:val>
            <c:numRef>
              <c:f>'Pivot Table 1'!$B$50:$B$54</c:f>
              <c:numCache>
                <c:formatCode>General</c:formatCode>
                <c:ptCount val="4"/>
                <c:pt idx="0">
                  <c:v>200</c:v>
                </c:pt>
                <c:pt idx="1">
                  <c:v>219</c:v>
                </c:pt>
                <c:pt idx="2">
                  <c:v>267</c:v>
                </c:pt>
                <c:pt idx="3">
                  <c:v>299</c:v>
                </c:pt>
              </c:numCache>
            </c:numRef>
          </c:val>
          <c:extLst>
            <c:ext xmlns:c16="http://schemas.microsoft.com/office/drawing/2014/chart" uri="{C3380CC4-5D6E-409C-BE32-E72D297353CC}">
              <c16:uniqueId val="{00000008-CC73-4B41-9CA4-F236FF3A4846}"/>
            </c:ext>
          </c:extLst>
        </c:ser>
        <c:dLbls>
          <c:showLegendKey val="0"/>
          <c:showVal val="1"/>
          <c:showCatName val="0"/>
          <c:showSerName val="0"/>
          <c:showPercent val="0"/>
          <c:showBubbleSize val="0"/>
          <c:showLeaderLines val="1"/>
        </c:dLbls>
        <c:firstSliceAng val="0"/>
        <c:holeSize val="63"/>
      </c:doughnutChart>
      <c:spPr>
        <a:noFill/>
        <a:ln>
          <a:noFill/>
        </a:ln>
        <a:effectLst/>
      </c:spPr>
    </c:plotArea>
    <c:legend>
      <c:legendPos val="b"/>
      <c:layout>
        <c:manualLayout>
          <c:xMode val="edge"/>
          <c:yMode val="edge"/>
          <c:x val="0.20935057040670638"/>
          <c:y val="0.8524300087489064"/>
          <c:w val="0.5909387560845738"/>
          <c:h val="7.8125546806649182E-2"/>
        </c:manualLayout>
      </c:layout>
      <c:overlay val="0"/>
      <c:spPr>
        <a:solidFill>
          <a:schemeClr val="bg1">
            <a:lumMod val="85000"/>
          </a:schemeClr>
        </a:solidFill>
        <a:ln w="15875">
          <a:solidFill>
            <a:srgbClr val="1E0CC6"/>
          </a:solidFill>
          <a:prstDash val="sysDash"/>
        </a:ln>
        <a:effectLst>
          <a:glow rad="63500">
            <a:schemeClr val="accent1">
              <a:satMod val="175000"/>
              <a:alpha val="40000"/>
            </a:schemeClr>
          </a:glow>
          <a:outerShdw blurRad="50800" dist="50800" dir="5400000" sx="5000" sy="5000" algn="ctr" rotWithShape="0">
            <a:srgbClr val="000000">
              <a:alpha val="43137"/>
            </a:srgbClr>
          </a:outerShdw>
        </a:effectLst>
      </c:spPr>
      <c:txPr>
        <a:bodyPr rot="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1!PivotTable4</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E0CC6"/>
                </a:solidFill>
              </a:rPr>
              <a:t>What is the qualification profile of the workforce?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E0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1'!$B$40</c:f>
              <c:strCache>
                <c:ptCount val="1"/>
                <c:pt idx="0">
                  <c:v>Total</c:v>
                </c:pt>
              </c:strCache>
            </c:strRef>
          </c:tx>
          <c:spPr>
            <a:solidFill>
              <a:srgbClr val="1E0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1'!$A$41:$A$46</c:f>
              <c:strCache>
                <c:ptCount val="5"/>
                <c:pt idx="0">
                  <c:v>MSc</c:v>
                </c:pt>
                <c:pt idx="1">
                  <c:v>B.Sc</c:v>
                </c:pt>
                <c:pt idx="2">
                  <c:v>PhD</c:v>
                </c:pt>
                <c:pt idx="3">
                  <c:v>HND</c:v>
                </c:pt>
                <c:pt idx="4">
                  <c:v>OND</c:v>
                </c:pt>
              </c:strCache>
            </c:strRef>
          </c:cat>
          <c:val>
            <c:numRef>
              <c:f>'Pivot Table 1'!$B$41:$B$46</c:f>
              <c:numCache>
                <c:formatCode>General</c:formatCode>
                <c:ptCount val="5"/>
                <c:pt idx="0">
                  <c:v>262</c:v>
                </c:pt>
                <c:pt idx="1">
                  <c:v>250</c:v>
                </c:pt>
                <c:pt idx="2">
                  <c:v>202</c:v>
                </c:pt>
                <c:pt idx="3">
                  <c:v>140</c:v>
                </c:pt>
                <c:pt idx="4">
                  <c:v>131</c:v>
                </c:pt>
              </c:numCache>
            </c:numRef>
          </c:val>
          <c:extLst>
            <c:ext xmlns:c16="http://schemas.microsoft.com/office/drawing/2014/chart" uri="{C3380CC4-5D6E-409C-BE32-E72D297353CC}">
              <c16:uniqueId val="{00000000-F8D3-4E60-8C02-38EEA57F888B}"/>
            </c:ext>
          </c:extLst>
        </c:ser>
        <c:dLbls>
          <c:dLblPos val="outEnd"/>
          <c:showLegendKey val="0"/>
          <c:showVal val="1"/>
          <c:showCatName val="0"/>
          <c:showSerName val="0"/>
          <c:showPercent val="0"/>
          <c:showBubbleSize val="0"/>
        </c:dLbls>
        <c:gapWidth val="219"/>
        <c:overlap val="-27"/>
        <c:axId val="673038287"/>
        <c:axId val="673039727"/>
      </c:barChart>
      <c:catAx>
        <c:axId val="67303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673039727"/>
        <c:crosses val="autoZero"/>
        <c:auto val="1"/>
        <c:lblAlgn val="ctr"/>
        <c:lblOffset val="100"/>
        <c:noMultiLvlLbl val="0"/>
      </c:catAx>
      <c:valAx>
        <c:axId val="673039727"/>
        <c:scaling>
          <c:orientation val="minMax"/>
        </c:scaling>
        <c:delete val="1"/>
        <c:axPos val="l"/>
        <c:numFmt formatCode="General" sourceLinked="1"/>
        <c:majorTickMark val="none"/>
        <c:minorTickMark val="none"/>
        <c:tickLblPos val="nextTo"/>
        <c:crossAx val="673038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2!PivotTable16</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F1BC3"/>
                </a:solidFill>
              </a:rPr>
              <a:t>Which Age group has the best Performance ratings?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1BC3"/>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CC"/>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1BC3"/>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99CC"/>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20000"/>
              <a:lumOff val="80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1BC3"/>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99CC"/>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20000"/>
              <a:lumOff val="80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2'!$B$33:$B$34</c:f>
              <c:strCache>
                <c:ptCount val="1"/>
                <c:pt idx="0">
                  <c:v>Average</c:v>
                </c:pt>
              </c:strCache>
            </c:strRef>
          </c:tx>
          <c:spPr>
            <a:solidFill>
              <a:srgbClr val="0A0442"/>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2'!$B$35:$B$38</c:f>
              <c:numCache>
                <c:formatCode>0</c:formatCode>
                <c:ptCount val="3"/>
                <c:pt idx="0">
                  <c:v>58</c:v>
                </c:pt>
                <c:pt idx="1">
                  <c:v>64</c:v>
                </c:pt>
                <c:pt idx="2">
                  <c:v>48</c:v>
                </c:pt>
              </c:numCache>
            </c:numRef>
          </c:val>
          <c:extLst>
            <c:ext xmlns:c16="http://schemas.microsoft.com/office/drawing/2014/chart" uri="{C3380CC4-5D6E-409C-BE32-E72D297353CC}">
              <c16:uniqueId val="{00000000-8E51-491C-AF11-23350FC55879}"/>
            </c:ext>
          </c:extLst>
        </c:ser>
        <c:ser>
          <c:idx val="1"/>
          <c:order val="1"/>
          <c:tx>
            <c:strRef>
              <c:f>'Pivot Table 2'!$C$33:$C$34</c:f>
              <c:strCache>
                <c:ptCount val="1"/>
                <c:pt idx="0">
                  <c:v>Excellent</c:v>
                </c:pt>
              </c:strCache>
            </c:strRef>
          </c:tx>
          <c:spPr>
            <a:solidFill>
              <a:srgbClr val="1F1BC3"/>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2'!$C$35:$C$38</c:f>
              <c:numCache>
                <c:formatCode>0</c:formatCode>
                <c:ptCount val="3"/>
                <c:pt idx="0">
                  <c:v>62</c:v>
                </c:pt>
                <c:pt idx="1">
                  <c:v>55</c:v>
                </c:pt>
                <c:pt idx="2">
                  <c:v>40</c:v>
                </c:pt>
              </c:numCache>
            </c:numRef>
          </c:val>
          <c:extLst>
            <c:ext xmlns:c16="http://schemas.microsoft.com/office/drawing/2014/chart" uri="{C3380CC4-5D6E-409C-BE32-E72D297353CC}">
              <c16:uniqueId val="{0000000C-8E51-491C-AF11-23350FC55879}"/>
            </c:ext>
          </c:extLst>
        </c:ser>
        <c:ser>
          <c:idx val="2"/>
          <c:order val="2"/>
          <c:tx>
            <c:strRef>
              <c:f>'Pivot Table 2'!$D$33:$D$34</c:f>
              <c:strCache>
                <c:ptCount val="1"/>
                <c:pt idx="0">
                  <c:v>Good</c:v>
                </c:pt>
              </c:strCache>
            </c:strRef>
          </c:tx>
          <c:spPr>
            <a:solidFill>
              <a:srgbClr val="0099CC"/>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2'!$D$35:$D$38</c:f>
              <c:numCache>
                <c:formatCode>0</c:formatCode>
                <c:ptCount val="3"/>
                <c:pt idx="0">
                  <c:v>61</c:v>
                </c:pt>
                <c:pt idx="1">
                  <c:v>77</c:v>
                </c:pt>
                <c:pt idx="2">
                  <c:v>38</c:v>
                </c:pt>
              </c:numCache>
            </c:numRef>
          </c:val>
          <c:extLst>
            <c:ext xmlns:c16="http://schemas.microsoft.com/office/drawing/2014/chart" uri="{C3380CC4-5D6E-409C-BE32-E72D297353CC}">
              <c16:uniqueId val="{0000000D-8E51-491C-AF11-23350FC55879}"/>
            </c:ext>
          </c:extLst>
        </c:ser>
        <c:ser>
          <c:idx val="3"/>
          <c:order val="3"/>
          <c:tx>
            <c:strRef>
              <c:f>'Pivot Table 2'!$E$33:$E$34</c:f>
              <c:strCache>
                <c:ptCount val="1"/>
                <c:pt idx="0">
                  <c:v>Poor</c:v>
                </c:pt>
              </c:strCache>
            </c:strRef>
          </c:tx>
          <c:spPr>
            <a:solidFill>
              <a:schemeClr val="accent5">
                <a:lumMod val="20000"/>
                <a:lumOff val="80000"/>
              </a:schemeClr>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2'!$E$35:$E$38</c:f>
              <c:numCache>
                <c:formatCode>0</c:formatCode>
                <c:ptCount val="3"/>
                <c:pt idx="0">
                  <c:v>73</c:v>
                </c:pt>
                <c:pt idx="1">
                  <c:v>64</c:v>
                </c:pt>
                <c:pt idx="2">
                  <c:v>44</c:v>
                </c:pt>
              </c:numCache>
            </c:numRef>
          </c:val>
          <c:extLst>
            <c:ext xmlns:c16="http://schemas.microsoft.com/office/drawing/2014/chart" uri="{C3380CC4-5D6E-409C-BE32-E72D297353CC}">
              <c16:uniqueId val="{0000000E-8E51-491C-AF11-23350FC55879}"/>
            </c:ext>
          </c:extLst>
        </c:ser>
        <c:dLbls>
          <c:dLblPos val="outEnd"/>
          <c:showLegendKey val="0"/>
          <c:showVal val="1"/>
          <c:showCatName val="0"/>
          <c:showSerName val="0"/>
          <c:showPercent val="0"/>
          <c:showBubbleSize val="0"/>
        </c:dLbls>
        <c:gapWidth val="219"/>
        <c:overlap val="-27"/>
        <c:axId val="1543862495"/>
        <c:axId val="1543857695"/>
      </c:barChart>
      <c:catAx>
        <c:axId val="154386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43857695"/>
        <c:crosses val="autoZero"/>
        <c:auto val="1"/>
        <c:lblAlgn val="ctr"/>
        <c:lblOffset val="100"/>
        <c:noMultiLvlLbl val="0"/>
      </c:catAx>
      <c:valAx>
        <c:axId val="1543857695"/>
        <c:scaling>
          <c:orientation val="minMax"/>
        </c:scaling>
        <c:delete val="1"/>
        <c:axPos val="l"/>
        <c:numFmt formatCode="0" sourceLinked="1"/>
        <c:majorTickMark val="none"/>
        <c:minorTickMark val="none"/>
        <c:tickLblPos val="nextTo"/>
        <c:crossAx val="1543862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2!PivotTable17</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u="none">
                <a:solidFill>
                  <a:srgbClr val="1F1BC3"/>
                </a:solidFill>
              </a:rPr>
              <a:t>Do Long-serving</a:t>
            </a:r>
            <a:r>
              <a:rPr lang="en-US" b="1" i="0" u="none" baseline="0">
                <a:solidFill>
                  <a:srgbClr val="1F1BC3"/>
                </a:solidFill>
              </a:rPr>
              <a:t> Employees perform better?</a:t>
            </a:r>
            <a:endParaRPr lang="en-US" b="1" i="0" u="none">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1BC3"/>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CC"/>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1BC3"/>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99CC"/>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20000"/>
              <a:lumOff val="8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F1BC3"/>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99CC"/>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20000"/>
              <a:lumOff val="8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2'!$B$41:$B$42</c:f>
              <c:strCache>
                <c:ptCount val="1"/>
                <c:pt idx="0">
                  <c:v>Average</c:v>
                </c:pt>
              </c:strCache>
            </c:strRef>
          </c:tx>
          <c:spPr>
            <a:solidFill>
              <a:srgbClr val="0A0442"/>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2'!$B$43:$B$46</c:f>
              <c:numCache>
                <c:formatCode>0</c:formatCode>
                <c:ptCount val="3"/>
                <c:pt idx="0">
                  <c:v>74</c:v>
                </c:pt>
                <c:pt idx="1">
                  <c:v>59</c:v>
                </c:pt>
                <c:pt idx="2">
                  <c:v>44</c:v>
                </c:pt>
              </c:numCache>
            </c:numRef>
          </c:val>
          <c:extLst>
            <c:ext xmlns:c16="http://schemas.microsoft.com/office/drawing/2014/chart" uri="{C3380CC4-5D6E-409C-BE32-E72D297353CC}">
              <c16:uniqueId val="{00000000-2EFC-4202-8131-5F02C32DC5CF}"/>
            </c:ext>
          </c:extLst>
        </c:ser>
        <c:ser>
          <c:idx val="1"/>
          <c:order val="1"/>
          <c:tx>
            <c:strRef>
              <c:f>'Pivot Table 2'!$C$41:$C$42</c:f>
              <c:strCache>
                <c:ptCount val="1"/>
                <c:pt idx="0">
                  <c:v>Excellent</c:v>
                </c:pt>
              </c:strCache>
            </c:strRef>
          </c:tx>
          <c:spPr>
            <a:solidFill>
              <a:srgbClr val="1F1BC3"/>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2'!$C$43:$C$46</c:f>
              <c:numCache>
                <c:formatCode>0</c:formatCode>
                <c:ptCount val="3"/>
                <c:pt idx="0">
                  <c:v>58</c:v>
                </c:pt>
                <c:pt idx="1">
                  <c:v>61</c:v>
                </c:pt>
                <c:pt idx="2">
                  <c:v>44</c:v>
                </c:pt>
              </c:numCache>
            </c:numRef>
          </c:val>
          <c:extLst>
            <c:ext xmlns:c16="http://schemas.microsoft.com/office/drawing/2014/chart" uri="{C3380CC4-5D6E-409C-BE32-E72D297353CC}">
              <c16:uniqueId val="{0000000C-2EFC-4202-8131-5F02C32DC5CF}"/>
            </c:ext>
          </c:extLst>
        </c:ser>
        <c:ser>
          <c:idx val="2"/>
          <c:order val="2"/>
          <c:tx>
            <c:strRef>
              <c:f>'Pivot Table 2'!$D$41:$D$42</c:f>
              <c:strCache>
                <c:ptCount val="1"/>
                <c:pt idx="0">
                  <c:v>Good</c:v>
                </c:pt>
              </c:strCache>
            </c:strRef>
          </c:tx>
          <c:spPr>
            <a:solidFill>
              <a:srgbClr val="0099CC"/>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2'!$D$43:$D$46</c:f>
              <c:numCache>
                <c:formatCode>0</c:formatCode>
                <c:ptCount val="3"/>
                <c:pt idx="0">
                  <c:v>61</c:v>
                </c:pt>
                <c:pt idx="1">
                  <c:v>71</c:v>
                </c:pt>
                <c:pt idx="2">
                  <c:v>47</c:v>
                </c:pt>
              </c:numCache>
            </c:numRef>
          </c:val>
          <c:extLst>
            <c:ext xmlns:c16="http://schemas.microsoft.com/office/drawing/2014/chart" uri="{C3380CC4-5D6E-409C-BE32-E72D297353CC}">
              <c16:uniqueId val="{0000000D-2EFC-4202-8131-5F02C32DC5CF}"/>
            </c:ext>
          </c:extLst>
        </c:ser>
        <c:ser>
          <c:idx val="3"/>
          <c:order val="3"/>
          <c:tx>
            <c:strRef>
              <c:f>'Pivot Table 2'!$E$41:$E$42</c:f>
              <c:strCache>
                <c:ptCount val="1"/>
                <c:pt idx="0">
                  <c:v>Poor</c:v>
                </c:pt>
              </c:strCache>
            </c:strRef>
          </c:tx>
          <c:spPr>
            <a:solidFill>
              <a:schemeClr val="accent5">
                <a:lumMod val="20000"/>
                <a:lumOff val="80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2'!$E$43:$E$46</c:f>
              <c:numCache>
                <c:formatCode>0</c:formatCode>
                <c:ptCount val="3"/>
                <c:pt idx="0">
                  <c:v>82</c:v>
                </c:pt>
                <c:pt idx="1">
                  <c:v>62</c:v>
                </c:pt>
                <c:pt idx="2">
                  <c:v>45</c:v>
                </c:pt>
              </c:numCache>
            </c:numRef>
          </c:val>
          <c:extLst>
            <c:ext xmlns:c16="http://schemas.microsoft.com/office/drawing/2014/chart" uri="{C3380CC4-5D6E-409C-BE32-E72D297353CC}">
              <c16:uniqueId val="{0000000E-2EFC-4202-8131-5F02C32DC5CF}"/>
            </c:ext>
          </c:extLst>
        </c:ser>
        <c:dLbls>
          <c:dLblPos val="outEnd"/>
          <c:showLegendKey val="0"/>
          <c:showVal val="1"/>
          <c:showCatName val="0"/>
          <c:showSerName val="0"/>
          <c:showPercent val="0"/>
          <c:showBubbleSize val="0"/>
        </c:dLbls>
        <c:gapWidth val="219"/>
        <c:overlap val="-27"/>
        <c:axId val="1543746335"/>
        <c:axId val="1543760735"/>
      </c:barChart>
      <c:catAx>
        <c:axId val="1543746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43760735"/>
        <c:crosses val="autoZero"/>
        <c:auto val="1"/>
        <c:lblAlgn val="ctr"/>
        <c:lblOffset val="100"/>
        <c:noMultiLvlLbl val="0"/>
      </c:catAx>
      <c:valAx>
        <c:axId val="1543760735"/>
        <c:scaling>
          <c:orientation val="minMax"/>
        </c:scaling>
        <c:delete val="1"/>
        <c:axPos val="l"/>
        <c:numFmt formatCode="0" sourceLinked="1"/>
        <c:majorTickMark val="none"/>
        <c:minorTickMark val="none"/>
        <c:tickLblPos val="nextTo"/>
        <c:crossAx val="1543746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F1BC3"/>
                </a:solidFill>
              </a:rPr>
              <a:t>Which</a:t>
            </a:r>
            <a:r>
              <a:rPr lang="en-US" sz="1200" b="1" baseline="0">
                <a:solidFill>
                  <a:srgbClr val="1F1BC3"/>
                </a:solidFill>
              </a:rPr>
              <a:t> Department pays the highest average Salary?</a:t>
            </a:r>
            <a:endParaRPr lang="en-US" sz="1200" b="1">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1BC3"/>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1BC3"/>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1BC3"/>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2'!$B$2</c:f>
              <c:strCache>
                <c:ptCount val="1"/>
                <c:pt idx="0">
                  <c:v>Total</c:v>
                </c:pt>
              </c:strCache>
            </c:strRef>
          </c:tx>
          <c:spPr>
            <a:solidFill>
              <a:srgbClr val="1F1BC3"/>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2'!$A$3:$A$13</c:f>
              <c:strCache>
                <c:ptCount val="10"/>
                <c:pt idx="0">
                  <c:v>Customer Service</c:v>
                </c:pt>
                <c:pt idx="1">
                  <c:v>Legal</c:v>
                </c:pt>
                <c:pt idx="2">
                  <c:v>Human Resources</c:v>
                </c:pt>
                <c:pt idx="3">
                  <c:v>Information Technology</c:v>
                </c:pt>
                <c:pt idx="4">
                  <c:v>Operations</c:v>
                </c:pt>
                <c:pt idx="5">
                  <c:v>Marketing</c:v>
                </c:pt>
                <c:pt idx="6">
                  <c:v>Procurement</c:v>
                </c:pt>
                <c:pt idx="7">
                  <c:v>Logistics</c:v>
                </c:pt>
                <c:pt idx="8">
                  <c:v>Finance</c:v>
                </c:pt>
                <c:pt idx="9">
                  <c:v>Sales</c:v>
                </c:pt>
              </c:strCache>
            </c:strRef>
          </c:cat>
          <c:val>
            <c:numRef>
              <c:f>'Pivot Table 2'!$B$3:$B$13</c:f>
              <c:numCache>
                <c:formatCode>_("₦"* #,##0.00_);_("₦"* \(#,##0.00\);_("₦"* "-"??_);_(@_)</c:formatCode>
                <c:ptCount val="10"/>
                <c:pt idx="0">
                  <c:v>488163.32608695654</c:v>
                </c:pt>
                <c:pt idx="1">
                  <c:v>488726.13021739136</c:v>
                </c:pt>
                <c:pt idx="2">
                  <c:v>533215.43809523806</c:v>
                </c:pt>
                <c:pt idx="3">
                  <c:v>568860.84183908044</c:v>
                </c:pt>
                <c:pt idx="4">
                  <c:v>580653.49019607843</c:v>
                </c:pt>
                <c:pt idx="5">
                  <c:v>597730.65595505619</c:v>
                </c:pt>
                <c:pt idx="6">
                  <c:v>608588.55434782605</c:v>
                </c:pt>
                <c:pt idx="7">
                  <c:v>611148.52577777777</c:v>
                </c:pt>
                <c:pt idx="8">
                  <c:v>625347.80666666664</c:v>
                </c:pt>
                <c:pt idx="9">
                  <c:v>737621.913375</c:v>
                </c:pt>
              </c:numCache>
            </c:numRef>
          </c:val>
          <c:extLst>
            <c:ext xmlns:c16="http://schemas.microsoft.com/office/drawing/2014/chart" uri="{C3380CC4-5D6E-409C-BE32-E72D297353CC}">
              <c16:uniqueId val="{00000000-017A-4875-BBA3-FD2874EB828B}"/>
            </c:ext>
          </c:extLst>
        </c:ser>
        <c:dLbls>
          <c:dLblPos val="outEnd"/>
          <c:showLegendKey val="0"/>
          <c:showVal val="1"/>
          <c:showCatName val="0"/>
          <c:showSerName val="0"/>
          <c:showPercent val="0"/>
          <c:showBubbleSize val="0"/>
        </c:dLbls>
        <c:gapWidth val="219"/>
        <c:axId val="1535603807"/>
        <c:axId val="1535598527"/>
      </c:barChart>
      <c:catAx>
        <c:axId val="1535603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535598527"/>
        <c:crosses val="autoZero"/>
        <c:auto val="1"/>
        <c:lblAlgn val="ctr"/>
        <c:lblOffset val="100"/>
        <c:noMultiLvlLbl val="0"/>
      </c:catAx>
      <c:valAx>
        <c:axId val="1535598527"/>
        <c:scaling>
          <c:orientation val="minMax"/>
        </c:scaling>
        <c:delete val="1"/>
        <c:axPos val="b"/>
        <c:numFmt formatCode="_(&quot;₦&quot;* #,##0.00_);_(&quot;₦&quot;* \(#,##0.00\);_(&quot;₦&quot;* &quot;-&quot;??_);_(@_)" sourceLinked="1"/>
        <c:majorTickMark val="none"/>
        <c:minorTickMark val="none"/>
        <c:tickLblPos val="nextTo"/>
        <c:crossAx val="153560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2!PivotTable8</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F1BC3"/>
                </a:solidFill>
              </a:rPr>
              <a:t>How is</a:t>
            </a:r>
            <a:r>
              <a:rPr lang="en-US" sz="1200" b="1" baseline="0">
                <a:solidFill>
                  <a:srgbClr val="1F1BC3"/>
                </a:solidFill>
              </a:rPr>
              <a:t> Performance Spread across the Workforce? </a:t>
            </a:r>
            <a:endParaRPr lang="en-US" sz="1200" b="1">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A0442"/>
          </a:solidFill>
          <a:ln w="19050">
            <a:solidFill>
              <a:schemeClr val="tx1">
                <a:lumMod val="95000"/>
                <a:lumOff val="5000"/>
              </a:schemeClr>
            </a:solidFill>
          </a:ln>
          <a:effectLst/>
        </c:spPr>
      </c:pivotFmt>
      <c:pivotFmt>
        <c:idx val="2"/>
        <c:spPr>
          <a:solidFill>
            <a:srgbClr val="1F1BC3"/>
          </a:solidFill>
          <a:ln w="19050">
            <a:solidFill>
              <a:schemeClr val="tx1">
                <a:lumMod val="95000"/>
                <a:lumOff val="5000"/>
              </a:schemeClr>
            </a:solidFill>
          </a:ln>
          <a:effectLst/>
        </c:spPr>
      </c:pivotFmt>
      <c:pivotFmt>
        <c:idx val="3"/>
        <c:spPr>
          <a:solidFill>
            <a:schemeClr val="accent5">
              <a:lumMod val="40000"/>
              <a:lumOff val="60000"/>
            </a:schemeClr>
          </a:solidFill>
          <a:ln w="19050">
            <a:solidFill>
              <a:schemeClr val="tx1">
                <a:lumMod val="95000"/>
                <a:lumOff val="5000"/>
              </a:schemeClr>
            </a:solidFill>
          </a:ln>
          <a:effectLst/>
        </c:spPr>
      </c:pivotFmt>
      <c:pivotFmt>
        <c:idx val="4"/>
        <c:spPr>
          <a:solidFill>
            <a:srgbClr val="00B0F0"/>
          </a:solidFill>
          <a:ln w="19050">
            <a:solidFill>
              <a:schemeClr val="tx1">
                <a:lumMod val="95000"/>
                <a:lumOff val="5000"/>
              </a:schemeClr>
            </a:solidFill>
          </a:ln>
          <a:effectLst/>
        </c:spPr>
      </c:pivotFmt>
      <c:pivotFmt>
        <c:idx val="5"/>
        <c:spPr>
          <a:solidFill>
            <a:schemeClr val="accent1"/>
          </a:solidFill>
          <a:ln w="19050">
            <a:solidFill>
              <a:schemeClr val="lt1"/>
            </a:solidFill>
          </a:ln>
          <a:effectLst/>
        </c:spPr>
        <c:marker>
          <c:symbol val="none"/>
        </c:marker>
        <c:dLbl>
          <c:idx val="0"/>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solidFill>
              <a:schemeClr val="tx1">
                <a:lumMod val="95000"/>
                <a:lumOff val="5000"/>
              </a:schemeClr>
            </a:solidFill>
          </a:ln>
          <a:effectLst/>
        </c:spPr>
      </c:pivotFmt>
      <c:pivotFmt>
        <c:idx val="7"/>
        <c:spPr>
          <a:solidFill>
            <a:schemeClr val="accent5">
              <a:lumMod val="40000"/>
              <a:lumOff val="60000"/>
            </a:schemeClr>
          </a:solidFill>
          <a:ln w="19050">
            <a:solidFill>
              <a:schemeClr val="tx1">
                <a:lumMod val="95000"/>
                <a:lumOff val="5000"/>
              </a:schemeClr>
            </a:solidFill>
          </a:ln>
          <a:effectLst/>
        </c:spPr>
      </c:pivotFmt>
      <c:pivotFmt>
        <c:idx val="8"/>
        <c:spPr>
          <a:solidFill>
            <a:srgbClr val="1F1BC3"/>
          </a:solidFill>
          <a:ln w="19050">
            <a:solidFill>
              <a:schemeClr val="tx1">
                <a:lumMod val="95000"/>
                <a:lumOff val="5000"/>
              </a:schemeClr>
            </a:solidFill>
          </a:ln>
          <a:effectLst/>
        </c:spPr>
      </c:pivotFmt>
      <c:pivotFmt>
        <c:idx val="9"/>
        <c:spPr>
          <a:solidFill>
            <a:srgbClr val="0A0442"/>
          </a:solidFill>
          <a:ln w="19050">
            <a:solidFill>
              <a:schemeClr val="tx1">
                <a:lumMod val="95000"/>
                <a:lumOff val="5000"/>
              </a:schemeClr>
            </a:solidFill>
          </a:ln>
          <a:effectLst/>
        </c:spPr>
      </c:pivotFmt>
      <c:pivotFmt>
        <c:idx val="10"/>
        <c:spPr>
          <a:solidFill>
            <a:schemeClr val="accent1"/>
          </a:solidFill>
          <a:ln w="19050">
            <a:solidFill>
              <a:schemeClr val="lt1"/>
            </a:solidFill>
          </a:ln>
          <a:effectLst/>
        </c:spPr>
        <c:marker>
          <c:symbol val="none"/>
        </c:marker>
        <c:dLbl>
          <c:idx val="0"/>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F0"/>
          </a:solidFill>
          <a:ln w="19050">
            <a:solidFill>
              <a:schemeClr val="tx1">
                <a:lumMod val="95000"/>
                <a:lumOff val="5000"/>
              </a:schemeClr>
            </a:solidFill>
          </a:ln>
          <a:effectLst/>
        </c:spPr>
      </c:pivotFmt>
      <c:pivotFmt>
        <c:idx val="12"/>
        <c:spPr>
          <a:solidFill>
            <a:schemeClr val="accent5">
              <a:lumMod val="40000"/>
              <a:lumOff val="60000"/>
            </a:schemeClr>
          </a:solidFill>
          <a:ln w="19050">
            <a:solidFill>
              <a:schemeClr val="tx1">
                <a:lumMod val="95000"/>
                <a:lumOff val="5000"/>
              </a:schemeClr>
            </a:solidFill>
          </a:ln>
          <a:effectLst/>
        </c:spPr>
      </c:pivotFmt>
      <c:pivotFmt>
        <c:idx val="13"/>
        <c:spPr>
          <a:solidFill>
            <a:srgbClr val="1F1BC3"/>
          </a:solidFill>
          <a:ln w="19050">
            <a:solidFill>
              <a:schemeClr val="tx1">
                <a:lumMod val="95000"/>
                <a:lumOff val="5000"/>
              </a:schemeClr>
            </a:solidFill>
          </a:ln>
          <a:effectLst/>
        </c:spPr>
      </c:pivotFmt>
      <c:pivotFmt>
        <c:idx val="14"/>
        <c:spPr>
          <a:solidFill>
            <a:srgbClr val="0A0442"/>
          </a:solidFill>
          <a:ln w="19050">
            <a:solidFill>
              <a:schemeClr val="tx1">
                <a:lumMod val="95000"/>
                <a:lumOff val="5000"/>
              </a:schemeClr>
            </a:solidFill>
          </a:ln>
          <a:effectLst/>
        </c:spPr>
      </c:pivotFmt>
    </c:pivotFmts>
    <c:plotArea>
      <c:layout>
        <c:manualLayout>
          <c:layoutTarget val="inner"/>
          <c:xMode val="edge"/>
          <c:yMode val="edge"/>
          <c:x val="0.31014203252268741"/>
          <c:y val="0.12502733390084575"/>
          <c:w val="0.39201630008426069"/>
          <c:h val="0.58325879178934648"/>
        </c:manualLayout>
      </c:layout>
      <c:doughnutChart>
        <c:varyColors val="1"/>
        <c:ser>
          <c:idx val="0"/>
          <c:order val="0"/>
          <c:tx>
            <c:strRef>
              <c:f>'Pivot Table 2'!$B$16</c:f>
              <c:strCache>
                <c:ptCount val="1"/>
                <c:pt idx="0">
                  <c:v>Total</c:v>
                </c:pt>
              </c:strCache>
            </c:strRef>
          </c:tx>
          <c:explosion val="4"/>
          <c:dPt>
            <c:idx val="0"/>
            <c:bubble3D val="0"/>
            <c:spPr>
              <a:solidFill>
                <a:srgbClr val="00B0F0"/>
              </a:solidFill>
              <a:ln w="19050">
                <a:solidFill>
                  <a:schemeClr val="tx1">
                    <a:lumMod val="95000"/>
                    <a:lumOff val="5000"/>
                  </a:schemeClr>
                </a:solidFill>
              </a:ln>
              <a:effectLst/>
            </c:spPr>
            <c:extLst>
              <c:ext xmlns:c16="http://schemas.microsoft.com/office/drawing/2014/chart" uri="{C3380CC4-5D6E-409C-BE32-E72D297353CC}">
                <c16:uniqueId val="{00000001-0DCA-4DA6-B7C2-775B2CEFA23C}"/>
              </c:ext>
            </c:extLst>
          </c:dPt>
          <c:dPt>
            <c:idx val="1"/>
            <c:bubble3D val="0"/>
            <c:spPr>
              <a:solidFill>
                <a:schemeClr val="accent5">
                  <a:lumMod val="40000"/>
                  <a:lumOff val="60000"/>
                </a:schemeClr>
              </a:solidFill>
              <a:ln w="19050">
                <a:solidFill>
                  <a:schemeClr val="tx1">
                    <a:lumMod val="95000"/>
                    <a:lumOff val="5000"/>
                  </a:schemeClr>
                </a:solidFill>
              </a:ln>
              <a:effectLst/>
            </c:spPr>
            <c:extLst>
              <c:ext xmlns:c16="http://schemas.microsoft.com/office/drawing/2014/chart" uri="{C3380CC4-5D6E-409C-BE32-E72D297353CC}">
                <c16:uniqueId val="{00000003-0DCA-4DA6-B7C2-775B2CEFA23C}"/>
              </c:ext>
            </c:extLst>
          </c:dPt>
          <c:dPt>
            <c:idx val="2"/>
            <c:bubble3D val="0"/>
            <c:spPr>
              <a:solidFill>
                <a:srgbClr val="1F1BC3"/>
              </a:solidFill>
              <a:ln w="19050">
                <a:solidFill>
                  <a:schemeClr val="tx1">
                    <a:lumMod val="95000"/>
                    <a:lumOff val="5000"/>
                  </a:schemeClr>
                </a:solidFill>
              </a:ln>
              <a:effectLst/>
            </c:spPr>
            <c:extLst>
              <c:ext xmlns:c16="http://schemas.microsoft.com/office/drawing/2014/chart" uri="{C3380CC4-5D6E-409C-BE32-E72D297353CC}">
                <c16:uniqueId val="{00000005-0DCA-4DA6-B7C2-775B2CEFA23C}"/>
              </c:ext>
            </c:extLst>
          </c:dPt>
          <c:dPt>
            <c:idx val="3"/>
            <c:bubble3D val="0"/>
            <c:spPr>
              <a:solidFill>
                <a:srgbClr val="0A0442"/>
              </a:solidFill>
              <a:ln w="19050">
                <a:solidFill>
                  <a:schemeClr val="tx1">
                    <a:lumMod val="95000"/>
                    <a:lumOff val="5000"/>
                  </a:schemeClr>
                </a:solidFill>
              </a:ln>
              <a:effectLst/>
            </c:spPr>
            <c:extLst>
              <c:ext xmlns:c16="http://schemas.microsoft.com/office/drawing/2014/chart" uri="{C3380CC4-5D6E-409C-BE32-E72D297353CC}">
                <c16:uniqueId val="{00000007-0DCA-4DA6-B7C2-775B2CEFA23C}"/>
              </c:ext>
            </c:extLst>
          </c:dPt>
          <c:dLbls>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2'!$A$17:$A$21</c:f>
              <c:strCache>
                <c:ptCount val="4"/>
                <c:pt idx="0">
                  <c:v>Average</c:v>
                </c:pt>
                <c:pt idx="1">
                  <c:v>Excellent</c:v>
                </c:pt>
                <c:pt idx="2">
                  <c:v>Good</c:v>
                </c:pt>
                <c:pt idx="3">
                  <c:v>Poor</c:v>
                </c:pt>
              </c:strCache>
            </c:strRef>
          </c:cat>
          <c:val>
            <c:numRef>
              <c:f>'Pivot Table 2'!$B$17:$B$21</c:f>
              <c:numCache>
                <c:formatCode>0</c:formatCode>
                <c:ptCount val="4"/>
                <c:pt idx="0">
                  <c:v>177</c:v>
                </c:pt>
                <c:pt idx="1">
                  <c:v>163</c:v>
                </c:pt>
                <c:pt idx="2">
                  <c:v>179</c:v>
                </c:pt>
                <c:pt idx="3">
                  <c:v>189</c:v>
                </c:pt>
              </c:numCache>
            </c:numRef>
          </c:val>
          <c:extLst>
            <c:ext xmlns:c16="http://schemas.microsoft.com/office/drawing/2014/chart" uri="{C3380CC4-5D6E-409C-BE32-E72D297353CC}">
              <c16:uniqueId val="{00000008-0DCA-4DA6-B7C2-775B2CEFA23C}"/>
            </c:ext>
          </c:extLst>
        </c:ser>
        <c:dLbls>
          <c:showLegendKey val="0"/>
          <c:showVal val="1"/>
          <c:showCatName val="0"/>
          <c:showSerName val="0"/>
          <c:showPercent val="0"/>
          <c:showBubbleSize val="0"/>
          <c:showLeaderLines val="1"/>
        </c:dLbls>
        <c:firstSliceAng val="0"/>
        <c:holeSize val="59"/>
      </c:doughnutChart>
      <c:spPr>
        <a:noFill/>
        <a:ln>
          <a:noFill/>
        </a:ln>
        <a:effectLst>
          <a:outerShdw blurRad="50800" dir="5400000" sx="68000" sy="68000" algn="ctr" rotWithShape="0">
            <a:srgbClr val="FF0000">
              <a:alpha val="43000"/>
            </a:srgbClr>
          </a:outerShdw>
        </a:effectLst>
      </c:spPr>
    </c:plotArea>
    <c:legend>
      <c:legendPos val="b"/>
      <c:layout>
        <c:manualLayout>
          <c:xMode val="edge"/>
          <c:yMode val="edge"/>
          <c:x val="0.21843420402707964"/>
          <c:y val="0.75028710911438856"/>
          <c:w val="0.58158177644768572"/>
          <c:h val="8.2732287722314224E-2"/>
        </c:manualLayout>
      </c:layout>
      <c:overlay val="0"/>
      <c:spPr>
        <a:solidFill>
          <a:schemeClr val="bg1">
            <a:lumMod val="85000"/>
          </a:schemeClr>
        </a:solidFill>
        <a:ln w="15875">
          <a:solidFill>
            <a:srgbClr val="1F1BC3"/>
          </a:solidFill>
          <a:prstDash val="sysDash"/>
        </a:ln>
        <a:effectLst>
          <a:glow rad="63500">
            <a:schemeClr val="accent1">
              <a:satMod val="175000"/>
              <a:alpha val="40000"/>
            </a:schemeClr>
          </a:glow>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2!PivotTable15</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1F1BC3"/>
                </a:solidFill>
              </a:rPr>
              <a:t>Whats the Maximum</a:t>
            </a:r>
            <a:r>
              <a:rPr lang="en-US" b="1" baseline="0">
                <a:solidFill>
                  <a:srgbClr val="1F1BC3"/>
                </a:solidFill>
              </a:rPr>
              <a:t> Salary by Education Level?</a:t>
            </a:r>
            <a:endParaRPr lang="en-US" b="1">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1BC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F1BC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1BC3"/>
          </a:solidFill>
          <a:ln>
            <a:noFill/>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35153361304286"/>
          <c:y val="0.16764777147678495"/>
          <c:w val="0.75529396325459319"/>
          <c:h val="0.72088764946048411"/>
        </c:manualLayout>
      </c:layout>
      <c:barChart>
        <c:barDir val="col"/>
        <c:grouping val="clustered"/>
        <c:varyColors val="0"/>
        <c:ser>
          <c:idx val="0"/>
          <c:order val="0"/>
          <c:tx>
            <c:strRef>
              <c:f>'Pivot Table 2'!$B$24</c:f>
              <c:strCache>
                <c:ptCount val="1"/>
                <c:pt idx="0">
                  <c:v>Total</c:v>
                </c:pt>
              </c:strCache>
            </c:strRef>
          </c:tx>
          <c:spPr>
            <a:solidFill>
              <a:srgbClr val="1F1BC3"/>
            </a:solidFill>
            <a:ln>
              <a:noFill/>
            </a:ln>
            <a:effectLst/>
          </c:spPr>
          <c:invertIfNegative val="0"/>
          <c:dLbls>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2'!$A$25:$A$30</c:f>
              <c:strCache>
                <c:ptCount val="5"/>
                <c:pt idx="0">
                  <c:v>PhD</c:v>
                </c:pt>
                <c:pt idx="1">
                  <c:v>B.Sc</c:v>
                </c:pt>
                <c:pt idx="2">
                  <c:v>MSc</c:v>
                </c:pt>
                <c:pt idx="3">
                  <c:v>HND</c:v>
                </c:pt>
                <c:pt idx="4">
                  <c:v>OND</c:v>
                </c:pt>
              </c:strCache>
            </c:strRef>
          </c:cat>
          <c:val>
            <c:numRef>
              <c:f>'Pivot Table 2'!$B$25:$B$30</c:f>
              <c:numCache>
                <c:formatCode>_("₦"* #,##0.00_);_("₦"* \(#,##0.00\);_("₦"* "-"??_);_(@_)</c:formatCode>
                <c:ptCount val="5"/>
                <c:pt idx="0">
                  <c:v>8633810</c:v>
                </c:pt>
                <c:pt idx="1">
                  <c:v>8264180</c:v>
                </c:pt>
                <c:pt idx="2">
                  <c:v>7537960</c:v>
                </c:pt>
                <c:pt idx="3">
                  <c:v>7493250</c:v>
                </c:pt>
                <c:pt idx="4">
                  <c:v>2275320</c:v>
                </c:pt>
              </c:numCache>
            </c:numRef>
          </c:val>
          <c:extLst>
            <c:ext xmlns:c16="http://schemas.microsoft.com/office/drawing/2014/chart" uri="{C3380CC4-5D6E-409C-BE32-E72D297353CC}">
              <c16:uniqueId val="{00000000-3402-4B89-9760-9F9ABB5C7064}"/>
            </c:ext>
          </c:extLst>
        </c:ser>
        <c:dLbls>
          <c:dLblPos val="outEnd"/>
          <c:showLegendKey val="0"/>
          <c:showVal val="1"/>
          <c:showCatName val="0"/>
          <c:showSerName val="0"/>
          <c:showPercent val="0"/>
          <c:showBubbleSize val="0"/>
        </c:dLbls>
        <c:gapWidth val="219"/>
        <c:overlap val="-27"/>
        <c:axId val="1535578847"/>
        <c:axId val="1535576927"/>
      </c:barChart>
      <c:catAx>
        <c:axId val="1535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535576927"/>
        <c:crosses val="autoZero"/>
        <c:auto val="1"/>
        <c:lblAlgn val="ctr"/>
        <c:lblOffset val="100"/>
        <c:noMultiLvlLbl val="0"/>
      </c:catAx>
      <c:valAx>
        <c:axId val="1535576927"/>
        <c:scaling>
          <c:orientation val="minMax"/>
        </c:scaling>
        <c:delete val="1"/>
        <c:axPos val="l"/>
        <c:numFmt formatCode="_(&quot;₦&quot;* #,##0.00_);_(&quot;₦&quot;* \(#,##0.00\);_(&quot;₦&quot;* &quot;-&quot;??_);_(@_)" sourceLinked="1"/>
        <c:majorTickMark val="none"/>
        <c:minorTickMark val="none"/>
        <c:tickLblPos val="nextTo"/>
        <c:crossAx val="153557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F1BC3"/>
                </a:solidFill>
              </a:rPr>
              <a:t>Which</a:t>
            </a:r>
            <a:r>
              <a:rPr lang="en-US" sz="1200" b="1" baseline="0">
                <a:solidFill>
                  <a:srgbClr val="1F1BC3"/>
                </a:solidFill>
              </a:rPr>
              <a:t> Department pays the highest average Salary?</a:t>
            </a:r>
            <a:endParaRPr lang="en-US" sz="1200" b="1">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1BC3"/>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2'!$B$2</c:f>
              <c:strCache>
                <c:ptCount val="1"/>
                <c:pt idx="0">
                  <c:v>Total</c:v>
                </c:pt>
              </c:strCache>
            </c:strRef>
          </c:tx>
          <c:spPr>
            <a:solidFill>
              <a:srgbClr val="1F1BC3"/>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2'!$A$3:$A$13</c:f>
              <c:strCache>
                <c:ptCount val="10"/>
                <c:pt idx="0">
                  <c:v>Customer Service</c:v>
                </c:pt>
                <c:pt idx="1">
                  <c:v>Legal</c:v>
                </c:pt>
                <c:pt idx="2">
                  <c:v>Human Resources</c:v>
                </c:pt>
                <c:pt idx="3">
                  <c:v>Information Technology</c:v>
                </c:pt>
                <c:pt idx="4">
                  <c:v>Operations</c:v>
                </c:pt>
                <c:pt idx="5">
                  <c:v>Marketing</c:v>
                </c:pt>
                <c:pt idx="6">
                  <c:v>Procurement</c:v>
                </c:pt>
                <c:pt idx="7">
                  <c:v>Logistics</c:v>
                </c:pt>
                <c:pt idx="8">
                  <c:v>Finance</c:v>
                </c:pt>
                <c:pt idx="9">
                  <c:v>Sales</c:v>
                </c:pt>
              </c:strCache>
            </c:strRef>
          </c:cat>
          <c:val>
            <c:numRef>
              <c:f>'Pivot Table 2'!$B$3:$B$13</c:f>
              <c:numCache>
                <c:formatCode>_("₦"* #,##0.00_);_("₦"* \(#,##0.00\);_("₦"* "-"??_);_(@_)</c:formatCode>
                <c:ptCount val="10"/>
                <c:pt idx="0">
                  <c:v>488163.32608695654</c:v>
                </c:pt>
                <c:pt idx="1">
                  <c:v>488726.13021739136</c:v>
                </c:pt>
                <c:pt idx="2">
                  <c:v>533215.43809523806</c:v>
                </c:pt>
                <c:pt idx="3">
                  <c:v>568860.84183908044</c:v>
                </c:pt>
                <c:pt idx="4">
                  <c:v>580653.49019607843</c:v>
                </c:pt>
                <c:pt idx="5">
                  <c:v>597730.65595505619</c:v>
                </c:pt>
                <c:pt idx="6">
                  <c:v>608588.55434782605</c:v>
                </c:pt>
                <c:pt idx="7">
                  <c:v>611148.52577777777</c:v>
                </c:pt>
                <c:pt idx="8">
                  <c:v>625347.80666666664</c:v>
                </c:pt>
                <c:pt idx="9">
                  <c:v>737621.913375</c:v>
                </c:pt>
              </c:numCache>
            </c:numRef>
          </c:val>
          <c:extLst>
            <c:ext xmlns:c16="http://schemas.microsoft.com/office/drawing/2014/chart" uri="{C3380CC4-5D6E-409C-BE32-E72D297353CC}">
              <c16:uniqueId val="{00000000-0582-4364-913E-2A83FC34B1C7}"/>
            </c:ext>
          </c:extLst>
        </c:ser>
        <c:dLbls>
          <c:dLblPos val="outEnd"/>
          <c:showLegendKey val="0"/>
          <c:showVal val="1"/>
          <c:showCatName val="0"/>
          <c:showSerName val="0"/>
          <c:showPercent val="0"/>
          <c:showBubbleSize val="0"/>
        </c:dLbls>
        <c:gapWidth val="219"/>
        <c:axId val="1535603807"/>
        <c:axId val="1535598527"/>
      </c:barChart>
      <c:catAx>
        <c:axId val="1535603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535598527"/>
        <c:crosses val="autoZero"/>
        <c:auto val="1"/>
        <c:lblAlgn val="ctr"/>
        <c:lblOffset val="100"/>
        <c:noMultiLvlLbl val="0"/>
      </c:catAx>
      <c:valAx>
        <c:axId val="1535598527"/>
        <c:scaling>
          <c:orientation val="minMax"/>
        </c:scaling>
        <c:delete val="1"/>
        <c:axPos val="b"/>
        <c:numFmt formatCode="_(&quot;₦&quot;* #,##0.00_);_(&quot;₦&quot;* \(#,##0.00\);_(&quot;₦&quot;* &quot;-&quot;??_);_(@_)" sourceLinked="1"/>
        <c:majorTickMark val="none"/>
        <c:minorTickMark val="none"/>
        <c:tickLblPos val="nextTo"/>
        <c:crossAx val="153560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F1BC3"/>
                </a:solidFill>
              </a:rPr>
              <a:t>How is</a:t>
            </a:r>
            <a:r>
              <a:rPr lang="en-US" sz="1200" b="1" baseline="0">
                <a:solidFill>
                  <a:srgbClr val="1F1BC3"/>
                </a:solidFill>
              </a:rPr>
              <a:t> Performance Spread across the Workforce? </a:t>
            </a:r>
            <a:endParaRPr lang="en-US" sz="1200" b="1">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A0442"/>
          </a:solidFill>
          <a:ln w="19050">
            <a:solidFill>
              <a:schemeClr val="tx1">
                <a:lumMod val="95000"/>
                <a:lumOff val="5000"/>
              </a:schemeClr>
            </a:solidFill>
          </a:ln>
          <a:effectLst/>
        </c:spPr>
      </c:pivotFmt>
      <c:pivotFmt>
        <c:idx val="2"/>
        <c:spPr>
          <a:solidFill>
            <a:srgbClr val="1F1BC3"/>
          </a:solidFill>
          <a:ln w="19050">
            <a:solidFill>
              <a:schemeClr val="tx1">
                <a:lumMod val="95000"/>
                <a:lumOff val="5000"/>
              </a:schemeClr>
            </a:solidFill>
          </a:ln>
          <a:effectLst/>
        </c:spPr>
      </c:pivotFmt>
      <c:pivotFmt>
        <c:idx val="3"/>
        <c:spPr>
          <a:solidFill>
            <a:schemeClr val="accent5">
              <a:lumMod val="40000"/>
              <a:lumOff val="60000"/>
            </a:schemeClr>
          </a:solidFill>
          <a:ln w="19050">
            <a:solidFill>
              <a:schemeClr val="tx1">
                <a:lumMod val="95000"/>
                <a:lumOff val="5000"/>
              </a:schemeClr>
            </a:solidFill>
          </a:ln>
          <a:effectLst/>
        </c:spPr>
      </c:pivotFmt>
      <c:pivotFmt>
        <c:idx val="4"/>
        <c:spPr>
          <a:solidFill>
            <a:srgbClr val="00B0F0"/>
          </a:solidFill>
          <a:ln w="19050">
            <a:solidFill>
              <a:schemeClr val="tx1">
                <a:lumMod val="95000"/>
                <a:lumOff val="5000"/>
              </a:schemeClr>
            </a:solidFill>
          </a:ln>
          <a:effectLst/>
        </c:spPr>
      </c:pivotFmt>
    </c:pivotFmts>
    <c:plotArea>
      <c:layout/>
      <c:doughnutChart>
        <c:varyColors val="1"/>
        <c:ser>
          <c:idx val="0"/>
          <c:order val="0"/>
          <c:tx>
            <c:strRef>
              <c:f>'Pivot Table 2'!$B$16</c:f>
              <c:strCache>
                <c:ptCount val="1"/>
                <c:pt idx="0">
                  <c:v>Total</c:v>
                </c:pt>
              </c:strCache>
            </c:strRef>
          </c:tx>
          <c:explosion val="4"/>
          <c:dPt>
            <c:idx val="0"/>
            <c:bubble3D val="0"/>
            <c:spPr>
              <a:solidFill>
                <a:srgbClr val="00B0F0"/>
              </a:solidFill>
              <a:ln w="19050">
                <a:solidFill>
                  <a:schemeClr val="tx1">
                    <a:lumMod val="95000"/>
                    <a:lumOff val="5000"/>
                  </a:schemeClr>
                </a:solidFill>
              </a:ln>
              <a:effectLst/>
            </c:spPr>
            <c:extLst>
              <c:ext xmlns:c16="http://schemas.microsoft.com/office/drawing/2014/chart" uri="{C3380CC4-5D6E-409C-BE32-E72D297353CC}">
                <c16:uniqueId val="{00000005-183F-4BF2-8830-C5DD8385E2B8}"/>
              </c:ext>
            </c:extLst>
          </c:dPt>
          <c:dPt>
            <c:idx val="1"/>
            <c:bubble3D val="0"/>
            <c:spPr>
              <a:solidFill>
                <a:schemeClr val="accent5">
                  <a:lumMod val="40000"/>
                  <a:lumOff val="60000"/>
                </a:schemeClr>
              </a:solidFill>
              <a:ln w="19050">
                <a:solidFill>
                  <a:schemeClr val="tx1">
                    <a:lumMod val="95000"/>
                    <a:lumOff val="5000"/>
                  </a:schemeClr>
                </a:solidFill>
              </a:ln>
              <a:effectLst/>
            </c:spPr>
            <c:extLst>
              <c:ext xmlns:c16="http://schemas.microsoft.com/office/drawing/2014/chart" uri="{C3380CC4-5D6E-409C-BE32-E72D297353CC}">
                <c16:uniqueId val="{00000004-183F-4BF2-8830-C5DD8385E2B8}"/>
              </c:ext>
            </c:extLst>
          </c:dPt>
          <c:dPt>
            <c:idx val="2"/>
            <c:bubble3D val="0"/>
            <c:spPr>
              <a:solidFill>
                <a:srgbClr val="1F1BC3"/>
              </a:solidFill>
              <a:ln w="19050">
                <a:solidFill>
                  <a:schemeClr val="tx1">
                    <a:lumMod val="95000"/>
                    <a:lumOff val="5000"/>
                  </a:schemeClr>
                </a:solidFill>
              </a:ln>
              <a:effectLst/>
            </c:spPr>
            <c:extLst>
              <c:ext xmlns:c16="http://schemas.microsoft.com/office/drawing/2014/chart" uri="{C3380CC4-5D6E-409C-BE32-E72D297353CC}">
                <c16:uniqueId val="{00000003-183F-4BF2-8830-C5DD8385E2B8}"/>
              </c:ext>
            </c:extLst>
          </c:dPt>
          <c:dPt>
            <c:idx val="3"/>
            <c:bubble3D val="0"/>
            <c:spPr>
              <a:solidFill>
                <a:srgbClr val="0A0442"/>
              </a:solidFill>
              <a:ln w="19050">
                <a:solidFill>
                  <a:schemeClr val="tx1">
                    <a:lumMod val="95000"/>
                    <a:lumOff val="5000"/>
                  </a:schemeClr>
                </a:solidFill>
              </a:ln>
              <a:effectLst/>
            </c:spPr>
            <c:extLst>
              <c:ext xmlns:c16="http://schemas.microsoft.com/office/drawing/2014/chart" uri="{C3380CC4-5D6E-409C-BE32-E72D297353CC}">
                <c16:uniqueId val="{00000002-183F-4BF2-8830-C5DD8385E2B8}"/>
              </c:ext>
            </c:extLst>
          </c:dPt>
          <c:dLbls>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2'!$A$17:$A$21</c:f>
              <c:strCache>
                <c:ptCount val="4"/>
                <c:pt idx="0">
                  <c:v>Average</c:v>
                </c:pt>
                <c:pt idx="1">
                  <c:v>Excellent</c:v>
                </c:pt>
                <c:pt idx="2">
                  <c:v>Good</c:v>
                </c:pt>
                <c:pt idx="3">
                  <c:v>Poor</c:v>
                </c:pt>
              </c:strCache>
            </c:strRef>
          </c:cat>
          <c:val>
            <c:numRef>
              <c:f>'Pivot Table 2'!$B$17:$B$21</c:f>
              <c:numCache>
                <c:formatCode>0</c:formatCode>
                <c:ptCount val="4"/>
                <c:pt idx="0">
                  <c:v>177</c:v>
                </c:pt>
                <c:pt idx="1">
                  <c:v>163</c:v>
                </c:pt>
                <c:pt idx="2">
                  <c:v>179</c:v>
                </c:pt>
                <c:pt idx="3">
                  <c:v>189</c:v>
                </c:pt>
              </c:numCache>
            </c:numRef>
          </c:val>
          <c:extLst>
            <c:ext xmlns:c16="http://schemas.microsoft.com/office/drawing/2014/chart" uri="{C3380CC4-5D6E-409C-BE32-E72D297353CC}">
              <c16:uniqueId val="{00000000-183F-4BF2-8830-C5DD8385E2B8}"/>
            </c:ext>
          </c:extLst>
        </c:ser>
        <c:dLbls>
          <c:showLegendKey val="0"/>
          <c:showVal val="1"/>
          <c:showCatName val="0"/>
          <c:showSerName val="0"/>
          <c:showPercent val="0"/>
          <c:showBubbleSize val="0"/>
          <c:showLeaderLines val="1"/>
        </c:dLbls>
        <c:firstSliceAng val="0"/>
        <c:holeSize val="59"/>
      </c:doughnutChart>
      <c:spPr>
        <a:noFill/>
        <a:ln>
          <a:noFill/>
        </a:ln>
        <a:effectLst>
          <a:outerShdw blurRad="50800" dir="5400000" sx="68000" sy="68000" algn="ctr" rotWithShape="0">
            <a:srgbClr val="FF0000">
              <a:alpha val="43000"/>
            </a:srgbClr>
          </a:outerShdw>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2!PivotTable15</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1F1BC3"/>
                </a:solidFill>
              </a:rPr>
              <a:t>Whats the Maximum</a:t>
            </a:r>
            <a:r>
              <a:rPr lang="en-US" b="1" baseline="0">
                <a:solidFill>
                  <a:srgbClr val="1F1BC3"/>
                </a:solidFill>
              </a:rPr>
              <a:t> Salary by Education Level?</a:t>
            </a:r>
            <a:endParaRPr lang="en-US" b="1">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1BC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026159230096238"/>
          <c:y val="0.17171296296296298"/>
          <c:w val="0.75529396325459319"/>
          <c:h val="0.72088764946048411"/>
        </c:manualLayout>
      </c:layout>
      <c:barChart>
        <c:barDir val="col"/>
        <c:grouping val="clustered"/>
        <c:varyColors val="0"/>
        <c:ser>
          <c:idx val="0"/>
          <c:order val="0"/>
          <c:tx>
            <c:strRef>
              <c:f>'Pivot Table 2'!$B$24</c:f>
              <c:strCache>
                <c:ptCount val="1"/>
                <c:pt idx="0">
                  <c:v>Total</c:v>
                </c:pt>
              </c:strCache>
            </c:strRef>
          </c:tx>
          <c:spPr>
            <a:solidFill>
              <a:srgbClr val="1F1BC3"/>
            </a:solidFill>
            <a:ln>
              <a:noFill/>
            </a:ln>
            <a:effectLst/>
          </c:spPr>
          <c:invertIfNegative val="0"/>
          <c:cat>
            <c:strRef>
              <c:f>'Pivot Table 2'!$A$25:$A$30</c:f>
              <c:strCache>
                <c:ptCount val="5"/>
                <c:pt idx="0">
                  <c:v>PhD</c:v>
                </c:pt>
                <c:pt idx="1">
                  <c:v>B.Sc</c:v>
                </c:pt>
                <c:pt idx="2">
                  <c:v>MSc</c:v>
                </c:pt>
                <c:pt idx="3">
                  <c:v>HND</c:v>
                </c:pt>
                <c:pt idx="4">
                  <c:v>OND</c:v>
                </c:pt>
              </c:strCache>
            </c:strRef>
          </c:cat>
          <c:val>
            <c:numRef>
              <c:f>'Pivot Table 2'!$B$25:$B$30</c:f>
              <c:numCache>
                <c:formatCode>_("₦"* #,##0.00_);_("₦"* \(#,##0.00\);_("₦"* "-"??_);_(@_)</c:formatCode>
                <c:ptCount val="5"/>
                <c:pt idx="0">
                  <c:v>8633810</c:v>
                </c:pt>
                <c:pt idx="1">
                  <c:v>8264180</c:v>
                </c:pt>
                <c:pt idx="2">
                  <c:v>7537960</c:v>
                </c:pt>
                <c:pt idx="3">
                  <c:v>7493250</c:v>
                </c:pt>
                <c:pt idx="4">
                  <c:v>2275320</c:v>
                </c:pt>
              </c:numCache>
            </c:numRef>
          </c:val>
          <c:extLst>
            <c:ext xmlns:c16="http://schemas.microsoft.com/office/drawing/2014/chart" uri="{C3380CC4-5D6E-409C-BE32-E72D297353CC}">
              <c16:uniqueId val="{00000000-53E4-4067-8341-DEDE24D40BB5}"/>
            </c:ext>
          </c:extLst>
        </c:ser>
        <c:dLbls>
          <c:showLegendKey val="0"/>
          <c:showVal val="0"/>
          <c:showCatName val="0"/>
          <c:showSerName val="0"/>
          <c:showPercent val="0"/>
          <c:showBubbleSize val="0"/>
        </c:dLbls>
        <c:gapWidth val="219"/>
        <c:overlap val="-27"/>
        <c:axId val="1535578847"/>
        <c:axId val="1535576927"/>
      </c:barChart>
      <c:catAx>
        <c:axId val="1535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535576927"/>
        <c:crosses val="autoZero"/>
        <c:auto val="1"/>
        <c:lblAlgn val="ctr"/>
        <c:lblOffset val="100"/>
        <c:noMultiLvlLbl val="0"/>
      </c:catAx>
      <c:valAx>
        <c:axId val="1535576927"/>
        <c:scaling>
          <c:orientation val="minMax"/>
        </c:scaling>
        <c:delete val="1"/>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crossAx val="153557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2!PivotTable16</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rgbClr val="1F1BC3"/>
                </a:solidFill>
              </a:rPr>
              <a:t>Which Age group has the best Performance ratings?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1BC3"/>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CC"/>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2'!$B$33:$B$34</c:f>
              <c:strCache>
                <c:ptCount val="1"/>
                <c:pt idx="0">
                  <c:v>Average</c:v>
                </c:pt>
              </c:strCache>
            </c:strRef>
          </c:tx>
          <c:spPr>
            <a:solidFill>
              <a:srgbClr val="0A0442"/>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2'!$B$35:$B$38</c:f>
              <c:numCache>
                <c:formatCode>0</c:formatCode>
                <c:ptCount val="3"/>
                <c:pt idx="0">
                  <c:v>58</c:v>
                </c:pt>
                <c:pt idx="1">
                  <c:v>64</c:v>
                </c:pt>
                <c:pt idx="2">
                  <c:v>48</c:v>
                </c:pt>
              </c:numCache>
            </c:numRef>
          </c:val>
          <c:extLst>
            <c:ext xmlns:c16="http://schemas.microsoft.com/office/drawing/2014/chart" uri="{C3380CC4-5D6E-409C-BE32-E72D297353CC}">
              <c16:uniqueId val="{00000000-0D16-4662-AAF3-A7739802BD10}"/>
            </c:ext>
          </c:extLst>
        </c:ser>
        <c:ser>
          <c:idx val="1"/>
          <c:order val="1"/>
          <c:tx>
            <c:strRef>
              <c:f>'Pivot Table 2'!$C$33:$C$34</c:f>
              <c:strCache>
                <c:ptCount val="1"/>
                <c:pt idx="0">
                  <c:v>Excellent</c:v>
                </c:pt>
              </c:strCache>
            </c:strRef>
          </c:tx>
          <c:spPr>
            <a:solidFill>
              <a:srgbClr val="1F1BC3"/>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2'!$C$35:$C$38</c:f>
              <c:numCache>
                <c:formatCode>0</c:formatCode>
                <c:ptCount val="3"/>
                <c:pt idx="0">
                  <c:v>62</c:v>
                </c:pt>
                <c:pt idx="1">
                  <c:v>55</c:v>
                </c:pt>
                <c:pt idx="2">
                  <c:v>40</c:v>
                </c:pt>
              </c:numCache>
            </c:numRef>
          </c:val>
          <c:extLst>
            <c:ext xmlns:c16="http://schemas.microsoft.com/office/drawing/2014/chart" uri="{C3380CC4-5D6E-409C-BE32-E72D297353CC}">
              <c16:uniqueId val="{0000000C-0D16-4662-AAF3-A7739802BD10}"/>
            </c:ext>
          </c:extLst>
        </c:ser>
        <c:ser>
          <c:idx val="2"/>
          <c:order val="2"/>
          <c:tx>
            <c:strRef>
              <c:f>'Pivot Table 2'!$D$33:$D$34</c:f>
              <c:strCache>
                <c:ptCount val="1"/>
                <c:pt idx="0">
                  <c:v>Good</c:v>
                </c:pt>
              </c:strCache>
            </c:strRef>
          </c:tx>
          <c:spPr>
            <a:solidFill>
              <a:srgbClr val="0099CC"/>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2'!$D$35:$D$38</c:f>
              <c:numCache>
                <c:formatCode>0</c:formatCode>
                <c:ptCount val="3"/>
                <c:pt idx="0">
                  <c:v>61</c:v>
                </c:pt>
                <c:pt idx="1">
                  <c:v>77</c:v>
                </c:pt>
                <c:pt idx="2">
                  <c:v>38</c:v>
                </c:pt>
              </c:numCache>
            </c:numRef>
          </c:val>
          <c:extLst>
            <c:ext xmlns:c16="http://schemas.microsoft.com/office/drawing/2014/chart" uri="{C3380CC4-5D6E-409C-BE32-E72D297353CC}">
              <c16:uniqueId val="{0000000D-0D16-4662-AAF3-A7739802BD10}"/>
            </c:ext>
          </c:extLst>
        </c:ser>
        <c:ser>
          <c:idx val="3"/>
          <c:order val="3"/>
          <c:tx>
            <c:strRef>
              <c:f>'Pivot Table 2'!$E$33:$E$34</c:f>
              <c:strCache>
                <c:ptCount val="1"/>
                <c:pt idx="0">
                  <c:v>Poor</c:v>
                </c:pt>
              </c:strCache>
            </c:strRef>
          </c:tx>
          <c:spPr>
            <a:solidFill>
              <a:schemeClr val="accent5">
                <a:lumMod val="20000"/>
                <a:lumOff val="80000"/>
              </a:schemeClr>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2'!$A$35:$A$38</c:f>
              <c:strCache>
                <c:ptCount val="3"/>
                <c:pt idx="0">
                  <c:v>Senior (46+)</c:v>
                </c:pt>
                <c:pt idx="1">
                  <c:v>Mid-Career (31-45)</c:v>
                </c:pt>
                <c:pt idx="2">
                  <c:v>Young (18-30)</c:v>
                </c:pt>
              </c:strCache>
            </c:strRef>
          </c:cat>
          <c:val>
            <c:numRef>
              <c:f>'Pivot Table 2'!$E$35:$E$38</c:f>
              <c:numCache>
                <c:formatCode>0</c:formatCode>
                <c:ptCount val="3"/>
                <c:pt idx="0">
                  <c:v>73</c:v>
                </c:pt>
                <c:pt idx="1">
                  <c:v>64</c:v>
                </c:pt>
                <c:pt idx="2">
                  <c:v>44</c:v>
                </c:pt>
              </c:numCache>
            </c:numRef>
          </c:val>
          <c:extLst>
            <c:ext xmlns:c16="http://schemas.microsoft.com/office/drawing/2014/chart" uri="{C3380CC4-5D6E-409C-BE32-E72D297353CC}">
              <c16:uniqueId val="{0000000E-0D16-4662-AAF3-A7739802BD10}"/>
            </c:ext>
          </c:extLst>
        </c:ser>
        <c:dLbls>
          <c:dLblPos val="outEnd"/>
          <c:showLegendKey val="0"/>
          <c:showVal val="1"/>
          <c:showCatName val="0"/>
          <c:showSerName val="0"/>
          <c:showPercent val="0"/>
          <c:showBubbleSize val="0"/>
        </c:dLbls>
        <c:gapWidth val="219"/>
        <c:overlap val="-27"/>
        <c:axId val="1543862495"/>
        <c:axId val="1543857695"/>
      </c:barChart>
      <c:catAx>
        <c:axId val="154386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43857695"/>
        <c:crosses val="autoZero"/>
        <c:auto val="1"/>
        <c:lblAlgn val="ctr"/>
        <c:lblOffset val="100"/>
        <c:noMultiLvlLbl val="0"/>
      </c:catAx>
      <c:valAx>
        <c:axId val="1543857695"/>
        <c:scaling>
          <c:orientation val="minMax"/>
        </c:scaling>
        <c:delete val="1"/>
        <c:axPos val="l"/>
        <c:numFmt formatCode="0" sourceLinked="1"/>
        <c:majorTickMark val="none"/>
        <c:minorTickMark val="none"/>
        <c:tickLblPos val="nextTo"/>
        <c:crossAx val="1543862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[Vantex-HR Project.xlsm]Pivot Table 2!PivotTable17</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u="none">
                <a:solidFill>
                  <a:srgbClr val="1F1BC3"/>
                </a:solidFill>
              </a:rPr>
              <a:t>Do Long-serving</a:t>
            </a:r>
            <a:r>
              <a:rPr lang="en-US" b="1" i="0" u="none" baseline="0">
                <a:solidFill>
                  <a:srgbClr val="1F1BC3"/>
                </a:solidFill>
              </a:rPr>
              <a:t> Employees perform better?</a:t>
            </a:r>
            <a:endParaRPr lang="en-US" b="1" i="0" u="none">
              <a:solidFill>
                <a:srgbClr val="1F1BC3"/>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A0442"/>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1BC3"/>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CC"/>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20000"/>
              <a:lumOff val="8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2'!$B$41:$B$42</c:f>
              <c:strCache>
                <c:ptCount val="1"/>
                <c:pt idx="0">
                  <c:v>Average</c:v>
                </c:pt>
              </c:strCache>
            </c:strRef>
          </c:tx>
          <c:spPr>
            <a:solidFill>
              <a:srgbClr val="0A0442"/>
            </a:soli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2'!$B$43:$B$46</c:f>
              <c:numCache>
                <c:formatCode>0</c:formatCode>
                <c:ptCount val="3"/>
                <c:pt idx="0">
                  <c:v>74</c:v>
                </c:pt>
                <c:pt idx="1">
                  <c:v>59</c:v>
                </c:pt>
                <c:pt idx="2">
                  <c:v>44</c:v>
                </c:pt>
              </c:numCache>
            </c:numRef>
          </c:val>
          <c:extLst>
            <c:ext xmlns:c16="http://schemas.microsoft.com/office/drawing/2014/chart" uri="{C3380CC4-5D6E-409C-BE32-E72D297353CC}">
              <c16:uniqueId val="{00000000-5095-4118-8390-A4A6332B54EA}"/>
            </c:ext>
          </c:extLst>
        </c:ser>
        <c:ser>
          <c:idx val="1"/>
          <c:order val="1"/>
          <c:tx>
            <c:strRef>
              <c:f>'Pivot Table 2'!$C$41:$C$42</c:f>
              <c:strCache>
                <c:ptCount val="1"/>
                <c:pt idx="0">
                  <c:v>Excellent</c:v>
                </c:pt>
              </c:strCache>
            </c:strRef>
          </c:tx>
          <c:spPr>
            <a:solidFill>
              <a:srgbClr val="1F1BC3"/>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2'!$C$43:$C$46</c:f>
              <c:numCache>
                <c:formatCode>0</c:formatCode>
                <c:ptCount val="3"/>
                <c:pt idx="0">
                  <c:v>58</c:v>
                </c:pt>
                <c:pt idx="1">
                  <c:v>61</c:v>
                </c:pt>
                <c:pt idx="2">
                  <c:v>44</c:v>
                </c:pt>
              </c:numCache>
            </c:numRef>
          </c:val>
          <c:extLst>
            <c:ext xmlns:c16="http://schemas.microsoft.com/office/drawing/2014/chart" uri="{C3380CC4-5D6E-409C-BE32-E72D297353CC}">
              <c16:uniqueId val="{0000000C-5095-4118-8390-A4A6332B54EA}"/>
            </c:ext>
          </c:extLst>
        </c:ser>
        <c:ser>
          <c:idx val="2"/>
          <c:order val="2"/>
          <c:tx>
            <c:strRef>
              <c:f>'Pivot Table 2'!$D$41:$D$42</c:f>
              <c:strCache>
                <c:ptCount val="1"/>
                <c:pt idx="0">
                  <c:v>Good</c:v>
                </c:pt>
              </c:strCache>
            </c:strRef>
          </c:tx>
          <c:spPr>
            <a:solidFill>
              <a:srgbClr val="0099CC"/>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2'!$D$43:$D$46</c:f>
              <c:numCache>
                <c:formatCode>0</c:formatCode>
                <c:ptCount val="3"/>
                <c:pt idx="0">
                  <c:v>61</c:v>
                </c:pt>
                <c:pt idx="1">
                  <c:v>71</c:v>
                </c:pt>
                <c:pt idx="2">
                  <c:v>47</c:v>
                </c:pt>
              </c:numCache>
            </c:numRef>
          </c:val>
          <c:extLst>
            <c:ext xmlns:c16="http://schemas.microsoft.com/office/drawing/2014/chart" uri="{C3380CC4-5D6E-409C-BE32-E72D297353CC}">
              <c16:uniqueId val="{0000000D-5095-4118-8390-A4A6332B54EA}"/>
            </c:ext>
          </c:extLst>
        </c:ser>
        <c:ser>
          <c:idx val="3"/>
          <c:order val="3"/>
          <c:tx>
            <c:strRef>
              <c:f>'Pivot Table 2'!$E$41:$E$42</c:f>
              <c:strCache>
                <c:ptCount val="1"/>
                <c:pt idx="0">
                  <c:v>Poor</c:v>
                </c:pt>
              </c:strCache>
            </c:strRef>
          </c:tx>
          <c:spPr>
            <a:solidFill>
              <a:schemeClr val="accent5">
                <a:lumMod val="20000"/>
                <a:lumOff val="80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2'!$A$43:$A$46</c:f>
              <c:strCache>
                <c:ptCount val="3"/>
                <c:pt idx="0">
                  <c:v>Veteran (9+ Yrs)</c:v>
                </c:pt>
                <c:pt idx="1">
                  <c:v>Growing (6-8 Yrs)</c:v>
                </c:pt>
                <c:pt idx="2">
                  <c:v>New (3-5 Yrs)</c:v>
                </c:pt>
              </c:strCache>
            </c:strRef>
          </c:cat>
          <c:val>
            <c:numRef>
              <c:f>'Pivot Table 2'!$E$43:$E$46</c:f>
              <c:numCache>
                <c:formatCode>0</c:formatCode>
                <c:ptCount val="3"/>
                <c:pt idx="0">
                  <c:v>82</c:v>
                </c:pt>
                <c:pt idx="1">
                  <c:v>62</c:v>
                </c:pt>
                <c:pt idx="2">
                  <c:v>45</c:v>
                </c:pt>
              </c:numCache>
            </c:numRef>
          </c:val>
          <c:extLst>
            <c:ext xmlns:c16="http://schemas.microsoft.com/office/drawing/2014/chart" uri="{C3380CC4-5D6E-409C-BE32-E72D297353CC}">
              <c16:uniqueId val="{0000000E-5095-4118-8390-A4A6332B54EA}"/>
            </c:ext>
          </c:extLst>
        </c:ser>
        <c:dLbls>
          <c:dLblPos val="outEnd"/>
          <c:showLegendKey val="0"/>
          <c:showVal val="1"/>
          <c:showCatName val="0"/>
          <c:showSerName val="0"/>
          <c:showPercent val="0"/>
          <c:showBubbleSize val="0"/>
        </c:dLbls>
        <c:gapWidth val="219"/>
        <c:overlap val="-27"/>
        <c:axId val="1543746335"/>
        <c:axId val="1543760735"/>
      </c:barChart>
      <c:catAx>
        <c:axId val="1543746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43760735"/>
        <c:crosses val="autoZero"/>
        <c:auto val="1"/>
        <c:lblAlgn val="ctr"/>
        <c:lblOffset val="100"/>
        <c:noMultiLvlLbl val="0"/>
      </c:catAx>
      <c:valAx>
        <c:axId val="1543760735"/>
        <c:scaling>
          <c:orientation val="minMax"/>
        </c:scaling>
        <c:delete val="1"/>
        <c:axPos val="l"/>
        <c:numFmt formatCode="0" sourceLinked="1"/>
        <c:majorTickMark val="none"/>
        <c:minorTickMark val="none"/>
        <c:tickLblPos val="nextTo"/>
        <c:crossAx val="1543746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jpeg"/><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2.jpeg"/><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17</xdr:col>
      <xdr:colOff>198120</xdr:colOff>
      <xdr:row>0</xdr:row>
      <xdr:rowOff>102870</xdr:rowOff>
    </xdr:from>
    <xdr:to>
      <xdr:col>24</xdr:col>
      <xdr:colOff>502920</xdr:colOff>
      <xdr:row>15</xdr:row>
      <xdr:rowOff>102870</xdr:rowOff>
    </xdr:to>
    <xdr:graphicFrame macro="">
      <xdr:nvGraphicFramePr>
        <xdr:cNvPr id="2" name="Chart 1">
          <a:extLst>
            <a:ext uri="{FF2B5EF4-FFF2-40B4-BE49-F238E27FC236}">
              <a16:creationId xmlns:a16="http://schemas.microsoft.com/office/drawing/2014/main" id="{D21D15F6-13C5-2E8B-050A-264F167B1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152400</xdr:colOff>
      <xdr:row>16</xdr:row>
      <xdr:rowOff>41910</xdr:rowOff>
    </xdr:from>
    <xdr:to>
      <xdr:col>24</xdr:col>
      <xdr:colOff>457200</xdr:colOff>
      <xdr:row>31</xdr:row>
      <xdr:rowOff>41910</xdr:rowOff>
    </xdr:to>
    <xdr:graphicFrame macro="">
      <xdr:nvGraphicFramePr>
        <xdr:cNvPr id="3" name="Chart 2">
          <a:extLst>
            <a:ext uri="{FF2B5EF4-FFF2-40B4-BE49-F238E27FC236}">
              <a16:creationId xmlns:a16="http://schemas.microsoft.com/office/drawing/2014/main" id="{7368E2FF-FB26-D6E4-7563-D3AC86895E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137160</xdr:colOff>
      <xdr:row>31</xdr:row>
      <xdr:rowOff>163830</xdr:rowOff>
    </xdr:from>
    <xdr:to>
      <xdr:col>24</xdr:col>
      <xdr:colOff>441960</xdr:colOff>
      <xdr:row>46</xdr:row>
      <xdr:rowOff>163830</xdr:rowOff>
    </xdr:to>
    <xdr:graphicFrame macro="">
      <xdr:nvGraphicFramePr>
        <xdr:cNvPr id="6" name="Chart 5">
          <a:extLst>
            <a:ext uri="{FF2B5EF4-FFF2-40B4-BE49-F238E27FC236}">
              <a16:creationId xmlns:a16="http://schemas.microsoft.com/office/drawing/2014/main" id="{74D143B6-4838-AB10-9BCF-0EF952D830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129540</xdr:colOff>
      <xdr:row>47</xdr:row>
      <xdr:rowOff>148590</xdr:rowOff>
    </xdr:from>
    <xdr:to>
      <xdr:col>24</xdr:col>
      <xdr:colOff>434340</xdr:colOff>
      <xdr:row>62</xdr:row>
      <xdr:rowOff>148590</xdr:rowOff>
    </xdr:to>
    <xdr:graphicFrame macro="">
      <xdr:nvGraphicFramePr>
        <xdr:cNvPr id="7" name="Chart 6">
          <a:extLst>
            <a:ext uri="{FF2B5EF4-FFF2-40B4-BE49-F238E27FC236}">
              <a16:creationId xmlns:a16="http://schemas.microsoft.com/office/drawing/2014/main" id="{5E76C426-25C5-C3E4-BD1E-CA9925BEFB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220980</xdr:colOff>
      <xdr:row>48</xdr:row>
      <xdr:rowOff>26670</xdr:rowOff>
    </xdr:from>
    <xdr:to>
      <xdr:col>16</xdr:col>
      <xdr:colOff>525780</xdr:colOff>
      <xdr:row>63</xdr:row>
      <xdr:rowOff>26670</xdr:rowOff>
    </xdr:to>
    <xdr:graphicFrame macro="">
      <xdr:nvGraphicFramePr>
        <xdr:cNvPr id="8" name="Chart 7">
          <a:extLst>
            <a:ext uri="{FF2B5EF4-FFF2-40B4-BE49-F238E27FC236}">
              <a16:creationId xmlns:a16="http://schemas.microsoft.com/office/drawing/2014/main" id="{1DB7AE6D-AC64-35EE-D516-40259D28D6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495300</xdr:colOff>
      <xdr:row>21</xdr:row>
      <xdr:rowOff>144780</xdr:rowOff>
    </xdr:from>
    <xdr:to>
      <xdr:col>10</xdr:col>
      <xdr:colOff>83820</xdr:colOff>
      <xdr:row>35</xdr:row>
      <xdr:rowOff>51435</xdr:rowOff>
    </xdr:to>
    <mc:AlternateContent xmlns:mc="http://schemas.openxmlformats.org/markup-compatibility/2006" xmlns:a14="http://schemas.microsoft.com/office/drawing/2010/main">
      <mc:Choice Requires="a14">
        <xdr:graphicFrame macro="">
          <xdr:nvGraphicFramePr>
            <xdr:cNvPr id="9" name="Department">
              <a:extLst>
                <a:ext uri="{FF2B5EF4-FFF2-40B4-BE49-F238E27FC236}">
                  <a16:creationId xmlns:a16="http://schemas.microsoft.com/office/drawing/2014/main" id="{49164B24-A599-8E89-85BA-153ECCC0A31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408420" y="40005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175260</xdr:colOff>
      <xdr:row>21</xdr:row>
      <xdr:rowOff>137160</xdr:rowOff>
    </xdr:from>
    <xdr:to>
      <xdr:col>13</xdr:col>
      <xdr:colOff>175260</xdr:colOff>
      <xdr:row>35</xdr:row>
      <xdr:rowOff>43815</xdr:rowOff>
    </xdr:to>
    <mc:AlternateContent xmlns:mc="http://schemas.openxmlformats.org/markup-compatibility/2006" xmlns:a14="http://schemas.microsoft.com/office/drawing/2010/main">
      <mc:Choice Requires="a14">
        <xdr:graphicFrame macro="">
          <xdr:nvGraphicFramePr>
            <xdr:cNvPr id="10" name="Employment_Status">
              <a:extLst>
                <a:ext uri="{FF2B5EF4-FFF2-40B4-BE49-F238E27FC236}">
                  <a16:creationId xmlns:a16="http://schemas.microsoft.com/office/drawing/2014/main" id="{D2D3FCC3-B728-D3CF-3AD6-D8DD002CDA4A}"/>
                </a:ext>
              </a:extLst>
            </xdr:cNvPr>
            <xdr:cNvGraphicFramePr/>
          </xdr:nvGraphicFramePr>
          <xdr:xfrm>
            <a:off x="0" y="0"/>
            <a:ext cx="0" cy="0"/>
          </xdr:xfrm>
          <a:graphic>
            <a:graphicData uri="http://schemas.microsoft.com/office/drawing/2010/slicer">
              <sle:slicer xmlns:sle="http://schemas.microsoft.com/office/drawing/2010/slicer" name="Employment_Status"/>
            </a:graphicData>
          </a:graphic>
        </xdr:graphicFrame>
      </mc:Choice>
      <mc:Fallback xmlns="">
        <xdr:sp macro="" textlink="">
          <xdr:nvSpPr>
            <xdr:cNvPr id="0" name=""/>
            <xdr:cNvSpPr>
              <a:spLocks noTextEdit="1"/>
            </xdr:cNvSpPr>
          </xdr:nvSpPr>
          <xdr:spPr>
            <a:xfrm>
              <a:off x="8328660" y="3992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274320</xdr:colOff>
      <xdr:row>21</xdr:row>
      <xdr:rowOff>137160</xdr:rowOff>
    </xdr:from>
    <xdr:to>
      <xdr:col>16</xdr:col>
      <xdr:colOff>274320</xdr:colOff>
      <xdr:row>35</xdr:row>
      <xdr:rowOff>43815</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43AD907F-FBC5-45A8-0AAB-58DC5F593F1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256520" y="3992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236220</xdr:colOff>
      <xdr:row>1</xdr:row>
      <xdr:rowOff>0</xdr:rowOff>
    </xdr:from>
    <xdr:to>
      <xdr:col>23</xdr:col>
      <xdr:colOff>266700</xdr:colOff>
      <xdr:row>39</xdr:row>
      <xdr:rowOff>53340</xdr:rowOff>
    </xdr:to>
    <xdr:sp macro="" textlink="">
      <xdr:nvSpPr>
        <xdr:cNvPr id="2" name="Rectangle: Rounded Corners 1">
          <a:extLst>
            <a:ext uri="{FF2B5EF4-FFF2-40B4-BE49-F238E27FC236}">
              <a16:creationId xmlns:a16="http://schemas.microsoft.com/office/drawing/2014/main" id="{681E9151-C325-A4CA-21FC-2B0F3449A2D4}"/>
            </a:ext>
          </a:extLst>
        </xdr:cNvPr>
        <xdr:cNvSpPr/>
      </xdr:nvSpPr>
      <xdr:spPr>
        <a:xfrm>
          <a:off x="845820" y="182880"/>
          <a:ext cx="13441680" cy="7002780"/>
        </a:xfrm>
        <a:prstGeom prst="roundRect">
          <a:avLst>
            <a:gd name="adj" fmla="val 5973"/>
          </a:avLst>
        </a:prstGeom>
        <a:solidFill>
          <a:schemeClr val="bg1"/>
        </a:solidFill>
        <a:ln w="28575">
          <a:solidFill>
            <a:srgbClr val="1E0CC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4</xdr:row>
      <xdr:rowOff>129540</xdr:rowOff>
    </xdr:from>
    <xdr:to>
      <xdr:col>2</xdr:col>
      <xdr:colOff>571500</xdr:colOff>
      <xdr:row>36</xdr:row>
      <xdr:rowOff>60960</xdr:rowOff>
    </xdr:to>
    <xdr:sp macro="" textlink="">
      <xdr:nvSpPr>
        <xdr:cNvPr id="3" name="Rectangle: Rounded Corners 2">
          <a:extLst>
            <a:ext uri="{FF2B5EF4-FFF2-40B4-BE49-F238E27FC236}">
              <a16:creationId xmlns:a16="http://schemas.microsoft.com/office/drawing/2014/main" id="{79E7790E-7BDA-4CEA-88E7-2A5D8C281967}"/>
            </a:ext>
          </a:extLst>
        </xdr:cNvPr>
        <xdr:cNvSpPr/>
      </xdr:nvSpPr>
      <xdr:spPr>
        <a:xfrm>
          <a:off x="152400" y="861060"/>
          <a:ext cx="1638300" cy="5783580"/>
        </a:xfrm>
        <a:prstGeom prst="roundRect">
          <a:avLst>
            <a:gd name="adj" fmla="val 18996"/>
          </a:avLst>
        </a:prstGeom>
        <a:solidFill>
          <a:schemeClr val="accent1">
            <a:lumMod val="20000"/>
            <a:lumOff val="80000"/>
          </a:schemeClr>
        </a:solidFill>
        <a:ln w="38100">
          <a:solidFill>
            <a:srgbClr val="1E0CC6"/>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114300</xdr:colOff>
      <xdr:row>1</xdr:row>
      <xdr:rowOff>83820</xdr:rowOff>
    </xdr:from>
    <xdr:to>
      <xdr:col>9</xdr:col>
      <xdr:colOff>553500</xdr:colOff>
      <xdr:row>8</xdr:row>
      <xdr:rowOff>63660</xdr:rowOff>
    </xdr:to>
    <xdr:sp macro="" textlink="">
      <xdr:nvSpPr>
        <xdr:cNvPr id="4" name="Rectangle: Rounded Corners 3">
          <a:extLst>
            <a:ext uri="{FF2B5EF4-FFF2-40B4-BE49-F238E27FC236}">
              <a16:creationId xmlns:a16="http://schemas.microsoft.com/office/drawing/2014/main" id="{F4803F6E-2119-4933-92B6-960814463FC7}"/>
            </a:ext>
          </a:extLst>
        </xdr:cNvPr>
        <xdr:cNvSpPr/>
      </xdr:nvSpPr>
      <xdr:spPr>
        <a:xfrm>
          <a:off x="3771900" y="266700"/>
          <a:ext cx="2268000" cy="126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190500</xdr:colOff>
      <xdr:row>1</xdr:row>
      <xdr:rowOff>76200</xdr:rowOff>
    </xdr:from>
    <xdr:to>
      <xdr:col>14</xdr:col>
      <xdr:colOff>20100</xdr:colOff>
      <xdr:row>8</xdr:row>
      <xdr:rowOff>56040</xdr:rowOff>
    </xdr:to>
    <xdr:sp macro="" textlink="">
      <xdr:nvSpPr>
        <xdr:cNvPr id="6" name="Rectangle: Rounded Corners 5">
          <a:extLst>
            <a:ext uri="{FF2B5EF4-FFF2-40B4-BE49-F238E27FC236}">
              <a16:creationId xmlns:a16="http://schemas.microsoft.com/office/drawing/2014/main" id="{1CDD602A-3F51-42A6-81BB-74355045F8FD}"/>
            </a:ext>
          </a:extLst>
        </xdr:cNvPr>
        <xdr:cNvSpPr/>
      </xdr:nvSpPr>
      <xdr:spPr>
        <a:xfrm>
          <a:off x="6286500" y="259080"/>
          <a:ext cx="2268000" cy="126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259080</xdr:colOff>
      <xdr:row>1</xdr:row>
      <xdr:rowOff>68580</xdr:rowOff>
    </xdr:from>
    <xdr:to>
      <xdr:col>18</xdr:col>
      <xdr:colOff>88680</xdr:colOff>
      <xdr:row>8</xdr:row>
      <xdr:rowOff>48420</xdr:rowOff>
    </xdr:to>
    <xdr:sp macro="" textlink="">
      <xdr:nvSpPr>
        <xdr:cNvPr id="7" name="Rectangle: Rounded Corners 6">
          <a:extLst>
            <a:ext uri="{FF2B5EF4-FFF2-40B4-BE49-F238E27FC236}">
              <a16:creationId xmlns:a16="http://schemas.microsoft.com/office/drawing/2014/main" id="{4584F0F0-92A7-4A3A-9EA4-90EDF81483B6}"/>
            </a:ext>
          </a:extLst>
        </xdr:cNvPr>
        <xdr:cNvSpPr/>
      </xdr:nvSpPr>
      <xdr:spPr>
        <a:xfrm>
          <a:off x="8793480" y="251460"/>
          <a:ext cx="2268000" cy="126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335280</xdr:colOff>
      <xdr:row>1</xdr:row>
      <xdr:rowOff>68580</xdr:rowOff>
    </xdr:from>
    <xdr:to>
      <xdr:col>22</xdr:col>
      <xdr:colOff>164880</xdr:colOff>
      <xdr:row>8</xdr:row>
      <xdr:rowOff>48420</xdr:rowOff>
    </xdr:to>
    <xdr:sp macro="" textlink="">
      <xdr:nvSpPr>
        <xdr:cNvPr id="8" name="Rectangle: Rounded Corners 7">
          <a:extLst>
            <a:ext uri="{FF2B5EF4-FFF2-40B4-BE49-F238E27FC236}">
              <a16:creationId xmlns:a16="http://schemas.microsoft.com/office/drawing/2014/main" id="{04588162-259B-4B04-841F-E809CE6495EB}"/>
            </a:ext>
          </a:extLst>
        </xdr:cNvPr>
        <xdr:cNvSpPr/>
      </xdr:nvSpPr>
      <xdr:spPr>
        <a:xfrm>
          <a:off x="11308080" y="251460"/>
          <a:ext cx="2268000" cy="126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53340</xdr:colOff>
      <xdr:row>8</xdr:row>
      <xdr:rowOff>152400</xdr:rowOff>
    </xdr:from>
    <xdr:to>
      <xdr:col>9</xdr:col>
      <xdr:colOff>355740</xdr:colOff>
      <xdr:row>27</xdr:row>
      <xdr:rowOff>97680</xdr:rowOff>
    </xdr:to>
    <xdr:sp macro="" textlink="">
      <xdr:nvSpPr>
        <xdr:cNvPr id="10" name="Rectangle: Rounded Corners 9">
          <a:extLst>
            <a:ext uri="{FF2B5EF4-FFF2-40B4-BE49-F238E27FC236}">
              <a16:creationId xmlns:a16="http://schemas.microsoft.com/office/drawing/2014/main" id="{77886825-96AC-41CE-BF40-6FA49DB3AD65}"/>
            </a:ext>
          </a:extLst>
        </xdr:cNvPr>
        <xdr:cNvSpPr/>
      </xdr:nvSpPr>
      <xdr:spPr>
        <a:xfrm>
          <a:off x="1882140" y="1615440"/>
          <a:ext cx="3960000" cy="3420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53340</xdr:colOff>
      <xdr:row>28</xdr:row>
      <xdr:rowOff>15240</xdr:rowOff>
    </xdr:from>
    <xdr:to>
      <xdr:col>9</xdr:col>
      <xdr:colOff>355740</xdr:colOff>
      <xdr:row>38</xdr:row>
      <xdr:rowOff>166440</xdr:rowOff>
    </xdr:to>
    <xdr:sp macro="" textlink="">
      <xdr:nvSpPr>
        <xdr:cNvPr id="11" name="Rectangle: Rounded Corners 10">
          <a:extLst>
            <a:ext uri="{FF2B5EF4-FFF2-40B4-BE49-F238E27FC236}">
              <a16:creationId xmlns:a16="http://schemas.microsoft.com/office/drawing/2014/main" id="{C547A81D-4EC2-4990-8CBD-667106BB897D}"/>
            </a:ext>
          </a:extLst>
        </xdr:cNvPr>
        <xdr:cNvSpPr/>
      </xdr:nvSpPr>
      <xdr:spPr>
        <a:xfrm>
          <a:off x="1882140" y="5135880"/>
          <a:ext cx="3960000" cy="1980000"/>
        </a:xfrm>
        <a:prstGeom prst="roundRect">
          <a:avLst>
            <a:gd name="adj" fmla="val 8502"/>
          </a:avLst>
        </a:prstGeom>
        <a:solidFill>
          <a:schemeClr val="bg1">
            <a:lumMod val="85000"/>
          </a:schemeClr>
        </a:solidFill>
        <a:ln w="9525">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472440</xdr:colOff>
      <xdr:row>8</xdr:row>
      <xdr:rowOff>152400</xdr:rowOff>
    </xdr:from>
    <xdr:to>
      <xdr:col>16</xdr:col>
      <xdr:colOff>237240</xdr:colOff>
      <xdr:row>38</xdr:row>
      <xdr:rowOff>138000</xdr:rowOff>
    </xdr:to>
    <xdr:sp macro="" textlink="">
      <xdr:nvSpPr>
        <xdr:cNvPr id="12" name="Rectangle: Rounded Corners 11">
          <a:extLst>
            <a:ext uri="{FF2B5EF4-FFF2-40B4-BE49-F238E27FC236}">
              <a16:creationId xmlns:a16="http://schemas.microsoft.com/office/drawing/2014/main" id="{DAFDF0B6-C194-439C-AD46-F368EF34322C}"/>
            </a:ext>
          </a:extLst>
        </xdr:cNvPr>
        <xdr:cNvSpPr/>
      </xdr:nvSpPr>
      <xdr:spPr>
        <a:xfrm>
          <a:off x="5958840" y="1615440"/>
          <a:ext cx="4032000" cy="5472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335280</xdr:colOff>
      <xdr:row>1</xdr:row>
      <xdr:rowOff>76200</xdr:rowOff>
    </xdr:from>
    <xdr:to>
      <xdr:col>5</xdr:col>
      <xdr:colOff>480060</xdr:colOff>
      <xdr:row>4</xdr:row>
      <xdr:rowOff>53340</xdr:rowOff>
    </xdr:to>
    <xdr:sp macro="" textlink="">
      <xdr:nvSpPr>
        <xdr:cNvPr id="13" name="Rectangle: Rounded Corners 12">
          <a:extLst>
            <a:ext uri="{FF2B5EF4-FFF2-40B4-BE49-F238E27FC236}">
              <a16:creationId xmlns:a16="http://schemas.microsoft.com/office/drawing/2014/main" id="{B24725BB-3433-465C-A7CF-83E9E501F460}"/>
            </a:ext>
          </a:extLst>
        </xdr:cNvPr>
        <xdr:cNvSpPr/>
      </xdr:nvSpPr>
      <xdr:spPr>
        <a:xfrm>
          <a:off x="944880" y="259080"/>
          <a:ext cx="2583180" cy="525780"/>
        </a:xfrm>
        <a:prstGeom prst="roundRect">
          <a:avLst>
            <a:gd name="adj" fmla="val 50000"/>
          </a:avLst>
        </a:prstGeom>
        <a:solidFill>
          <a:schemeClr val="accent1">
            <a:lumMod val="20000"/>
            <a:lumOff val="80000"/>
          </a:schemeClr>
        </a:solidFill>
        <a:ln w="12700">
          <a:solidFill>
            <a:srgbClr val="1E0CC6"/>
          </a:solidFill>
          <a:prstDash val="sysDash"/>
        </a:ln>
        <a:effectLst>
          <a:glow rad="1016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3</xdr:col>
      <xdr:colOff>7620</xdr:colOff>
      <xdr:row>4</xdr:row>
      <xdr:rowOff>121920</xdr:rowOff>
    </xdr:from>
    <xdr:to>
      <xdr:col>5</xdr:col>
      <xdr:colOff>502920</xdr:colOff>
      <xdr:row>8</xdr:row>
      <xdr:rowOff>144780</xdr:rowOff>
    </xdr:to>
    <xdr:sp macro="" textlink="">
      <xdr:nvSpPr>
        <xdr:cNvPr id="14" name="Rectangle: Rounded Corners 13">
          <a:extLst>
            <a:ext uri="{FF2B5EF4-FFF2-40B4-BE49-F238E27FC236}">
              <a16:creationId xmlns:a16="http://schemas.microsoft.com/office/drawing/2014/main" id="{C60D0DD0-81DA-4317-B352-DBDC431C8192}"/>
            </a:ext>
          </a:extLst>
        </xdr:cNvPr>
        <xdr:cNvSpPr/>
      </xdr:nvSpPr>
      <xdr:spPr>
        <a:xfrm>
          <a:off x="1836420" y="853440"/>
          <a:ext cx="1714500" cy="754380"/>
        </a:xfrm>
        <a:prstGeom prst="roundRect">
          <a:avLst>
            <a:gd name="adj" fmla="val 18996"/>
          </a:avLst>
        </a:prstGeom>
        <a:noFill/>
        <a:ln w="12700">
          <a:noFill/>
          <a:prstDash val="sysDash"/>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Workforce </a:t>
          </a:r>
        </a:p>
        <a:p>
          <a:pPr algn="ctr"/>
          <a:r>
            <a:rPr lang="en-US" sz="1800" b="1">
              <a:solidFill>
                <a:schemeClr val="tx1"/>
              </a:solidFill>
            </a:rPr>
            <a:t>Overview</a:t>
          </a:r>
        </a:p>
      </xdr:txBody>
    </xdr:sp>
    <xdr:clientData/>
  </xdr:twoCellAnchor>
  <xdr:twoCellAnchor>
    <xdr:from>
      <xdr:col>16</xdr:col>
      <xdr:colOff>358140</xdr:colOff>
      <xdr:row>8</xdr:row>
      <xdr:rowOff>152400</xdr:rowOff>
    </xdr:from>
    <xdr:to>
      <xdr:col>23</xdr:col>
      <xdr:colOff>122940</xdr:colOff>
      <xdr:row>27</xdr:row>
      <xdr:rowOff>97680</xdr:rowOff>
    </xdr:to>
    <xdr:sp macro="" textlink="">
      <xdr:nvSpPr>
        <xdr:cNvPr id="15" name="Rectangle: Rounded Corners 14">
          <a:extLst>
            <a:ext uri="{FF2B5EF4-FFF2-40B4-BE49-F238E27FC236}">
              <a16:creationId xmlns:a16="http://schemas.microsoft.com/office/drawing/2014/main" id="{762C446F-EF29-47C5-9333-2BC8C46DB33B}"/>
            </a:ext>
          </a:extLst>
        </xdr:cNvPr>
        <xdr:cNvSpPr/>
      </xdr:nvSpPr>
      <xdr:spPr>
        <a:xfrm>
          <a:off x="10111740" y="1615440"/>
          <a:ext cx="4032000" cy="3420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358140</xdr:colOff>
      <xdr:row>28</xdr:row>
      <xdr:rowOff>7620</xdr:rowOff>
    </xdr:from>
    <xdr:to>
      <xdr:col>23</xdr:col>
      <xdr:colOff>122940</xdr:colOff>
      <xdr:row>38</xdr:row>
      <xdr:rowOff>158820</xdr:rowOff>
    </xdr:to>
    <xdr:sp macro="" textlink="">
      <xdr:nvSpPr>
        <xdr:cNvPr id="16" name="Rectangle: Rounded Corners 15">
          <a:extLst>
            <a:ext uri="{FF2B5EF4-FFF2-40B4-BE49-F238E27FC236}">
              <a16:creationId xmlns:a16="http://schemas.microsoft.com/office/drawing/2014/main" id="{73C9C6E6-2B27-4C8A-9DA7-39376EFA3D71}"/>
            </a:ext>
          </a:extLst>
        </xdr:cNvPr>
        <xdr:cNvSpPr/>
      </xdr:nvSpPr>
      <xdr:spPr>
        <a:xfrm>
          <a:off x="10111740" y="5128260"/>
          <a:ext cx="4032000" cy="1980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243840</xdr:colOff>
      <xdr:row>36</xdr:row>
      <xdr:rowOff>76200</xdr:rowOff>
    </xdr:from>
    <xdr:to>
      <xdr:col>3</xdr:col>
      <xdr:colOff>104640</xdr:colOff>
      <xdr:row>38</xdr:row>
      <xdr:rowOff>142440</xdr:rowOff>
    </xdr:to>
    <xdr:sp macro="[0]!GoToDashboard2" textlink="">
      <xdr:nvSpPr>
        <xdr:cNvPr id="17" name="Rectangle: Rounded Corners 16">
          <a:extLst>
            <a:ext uri="{FF2B5EF4-FFF2-40B4-BE49-F238E27FC236}">
              <a16:creationId xmlns:a16="http://schemas.microsoft.com/office/drawing/2014/main" id="{C98B263E-8008-4EDF-88C6-0F56FE86E637}"/>
            </a:ext>
          </a:extLst>
        </xdr:cNvPr>
        <xdr:cNvSpPr/>
      </xdr:nvSpPr>
      <xdr:spPr>
        <a:xfrm>
          <a:off x="853440" y="6659880"/>
          <a:ext cx="1080000" cy="432000"/>
        </a:xfrm>
        <a:prstGeom prst="roundRect">
          <a:avLst>
            <a:gd name="adj" fmla="val 18996"/>
          </a:avLst>
        </a:prstGeom>
        <a:noFill/>
        <a:ln w="12700">
          <a:noFill/>
          <a:prstDash val="sysDash"/>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1E0CC6"/>
              </a:solidFill>
            </a:rPr>
            <a:t>Next</a:t>
          </a:r>
        </a:p>
      </xdr:txBody>
    </xdr:sp>
    <xdr:clientData/>
  </xdr:twoCellAnchor>
  <xdr:twoCellAnchor>
    <xdr:from>
      <xdr:col>1</xdr:col>
      <xdr:colOff>396240</xdr:colOff>
      <xdr:row>1</xdr:row>
      <xdr:rowOff>121920</xdr:rowOff>
    </xdr:from>
    <xdr:to>
      <xdr:col>5</xdr:col>
      <xdr:colOff>405840</xdr:colOff>
      <xdr:row>4</xdr:row>
      <xdr:rowOff>5280</xdr:rowOff>
    </xdr:to>
    <xdr:sp macro="" textlink="">
      <xdr:nvSpPr>
        <xdr:cNvPr id="18" name="Rectangle: Rounded Corners 17">
          <a:extLst>
            <a:ext uri="{FF2B5EF4-FFF2-40B4-BE49-F238E27FC236}">
              <a16:creationId xmlns:a16="http://schemas.microsoft.com/office/drawing/2014/main" id="{C2E8402D-C93B-482F-9C9F-34D4E94DD8C4}"/>
            </a:ext>
          </a:extLst>
        </xdr:cNvPr>
        <xdr:cNvSpPr/>
      </xdr:nvSpPr>
      <xdr:spPr>
        <a:xfrm>
          <a:off x="1005840" y="304800"/>
          <a:ext cx="2448000" cy="432000"/>
        </a:xfrm>
        <a:prstGeom prst="roundRect">
          <a:avLst>
            <a:gd name="adj" fmla="val 50000"/>
          </a:avLst>
        </a:prstGeom>
        <a:solidFill>
          <a:schemeClr val="accent1">
            <a:lumMod val="20000"/>
            <a:lumOff val="80000"/>
          </a:schemeClr>
        </a:solidFill>
        <a:ln w="12700">
          <a:solidFill>
            <a:srgbClr val="1E0CC6"/>
          </a:solidFill>
          <a:prstDash val="sysDash"/>
        </a:ln>
        <a:effectLst>
          <a:glow rad="1016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1E0CC6"/>
              </a:solidFill>
            </a:rPr>
            <a:t>Vantex</a:t>
          </a:r>
          <a:r>
            <a:rPr lang="en-US" sz="2400" b="1" baseline="0">
              <a:solidFill>
                <a:sysClr val="windowText" lastClr="000000"/>
              </a:solidFill>
            </a:rPr>
            <a:t>         </a:t>
          </a:r>
          <a:r>
            <a:rPr lang="en-US" sz="2400" b="1" baseline="0">
              <a:solidFill>
                <a:srgbClr val="1E0CC6"/>
              </a:solidFill>
            </a:rPr>
            <a:t>HR</a:t>
          </a:r>
          <a:endParaRPr lang="en-US" sz="2400" b="1">
            <a:solidFill>
              <a:srgbClr val="1E0CC6"/>
            </a:solidFill>
          </a:endParaRPr>
        </a:p>
      </xdr:txBody>
    </xdr:sp>
    <xdr:clientData/>
  </xdr:twoCellAnchor>
  <xdr:twoCellAnchor>
    <xdr:from>
      <xdr:col>3</xdr:col>
      <xdr:colOff>411480</xdr:colOff>
      <xdr:row>3</xdr:row>
      <xdr:rowOff>7620</xdr:rowOff>
    </xdr:from>
    <xdr:to>
      <xdr:col>4</xdr:col>
      <xdr:colOff>341880</xdr:colOff>
      <xdr:row>3</xdr:row>
      <xdr:rowOff>7620</xdr:rowOff>
    </xdr:to>
    <xdr:cxnSp macro="">
      <xdr:nvCxnSpPr>
        <xdr:cNvPr id="22" name="Straight Arrow Connector 21">
          <a:extLst>
            <a:ext uri="{FF2B5EF4-FFF2-40B4-BE49-F238E27FC236}">
              <a16:creationId xmlns:a16="http://schemas.microsoft.com/office/drawing/2014/main" id="{AAF59925-2659-87C8-78B4-1955FDE3B430}"/>
            </a:ext>
          </a:extLst>
        </xdr:cNvPr>
        <xdr:cNvCxnSpPr/>
      </xdr:nvCxnSpPr>
      <xdr:spPr>
        <a:xfrm>
          <a:off x="2240280" y="556260"/>
          <a:ext cx="540000" cy="0"/>
        </a:xfrm>
        <a:prstGeom prst="straightConnector1">
          <a:avLst/>
        </a:prstGeom>
        <a:ln w="19050">
          <a:solidFill>
            <a:srgbClr val="FF0000"/>
          </a:solidFill>
          <a:tailEnd type="triangle"/>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114300</xdr:colOff>
      <xdr:row>1</xdr:row>
      <xdr:rowOff>144780</xdr:rowOff>
    </xdr:from>
    <xdr:to>
      <xdr:col>9</xdr:col>
      <xdr:colOff>409500</xdr:colOff>
      <xdr:row>7</xdr:row>
      <xdr:rowOff>163500</xdr:rowOff>
    </xdr:to>
    <xdr:sp macro="" textlink="">
      <xdr:nvSpPr>
        <xdr:cNvPr id="23" name="Rectangle: Rounded Corners 22">
          <a:extLst>
            <a:ext uri="{FF2B5EF4-FFF2-40B4-BE49-F238E27FC236}">
              <a16:creationId xmlns:a16="http://schemas.microsoft.com/office/drawing/2014/main" id="{30BDD933-9FC4-4ACB-B5C3-23660ABB18DD}"/>
            </a:ext>
          </a:extLst>
        </xdr:cNvPr>
        <xdr:cNvSpPr/>
      </xdr:nvSpPr>
      <xdr:spPr>
        <a:xfrm>
          <a:off x="3771900" y="327660"/>
          <a:ext cx="2124000" cy="1116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i="0" u="none" strike="noStrike">
              <a:solidFill>
                <a:schemeClr val="tx1"/>
              </a:solidFill>
              <a:effectLst/>
              <a:latin typeface="+mn-lt"/>
              <a:ea typeface="+mn-ea"/>
              <a:cs typeface="+mn-cs"/>
            </a:rPr>
            <a:t>Total Employees</a:t>
          </a:r>
          <a:r>
            <a:rPr lang="en-US" sz="1800" b="1">
              <a:solidFill>
                <a:schemeClr val="tx1"/>
              </a:solidFill>
              <a:effectLst/>
            </a:rPr>
            <a:t> </a:t>
          </a:r>
          <a:endParaRPr lang="en-US" sz="1800" b="1">
            <a:solidFill>
              <a:schemeClr val="tx1"/>
            </a:solidFill>
          </a:endParaRPr>
        </a:p>
      </xdr:txBody>
    </xdr:sp>
    <xdr:clientData/>
  </xdr:twoCellAnchor>
  <xdr:twoCellAnchor>
    <xdr:from>
      <xdr:col>10</xdr:col>
      <xdr:colOff>190500</xdr:colOff>
      <xdr:row>1</xdr:row>
      <xdr:rowOff>137160</xdr:rowOff>
    </xdr:from>
    <xdr:to>
      <xdr:col>13</xdr:col>
      <xdr:colOff>485700</xdr:colOff>
      <xdr:row>7</xdr:row>
      <xdr:rowOff>155880</xdr:rowOff>
    </xdr:to>
    <xdr:sp macro="" textlink="">
      <xdr:nvSpPr>
        <xdr:cNvPr id="24" name="Rectangle: Rounded Corners 23">
          <a:extLst>
            <a:ext uri="{FF2B5EF4-FFF2-40B4-BE49-F238E27FC236}">
              <a16:creationId xmlns:a16="http://schemas.microsoft.com/office/drawing/2014/main" id="{344EE12D-B435-43A1-8ED8-8146E55BE57F}"/>
            </a:ext>
          </a:extLst>
        </xdr:cNvPr>
        <xdr:cNvSpPr/>
      </xdr:nvSpPr>
      <xdr:spPr>
        <a:xfrm>
          <a:off x="6286500" y="320040"/>
          <a:ext cx="2124000" cy="1116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i="0" u="none" strike="noStrike">
              <a:solidFill>
                <a:schemeClr val="tx1"/>
              </a:solidFill>
              <a:effectLst/>
              <a:latin typeface="+mn-lt"/>
              <a:ea typeface="+mn-ea"/>
              <a:cs typeface="+mn-cs"/>
            </a:rPr>
            <a:t>Average Age</a:t>
          </a:r>
          <a:r>
            <a:rPr lang="en-US" sz="1800" b="1">
              <a:solidFill>
                <a:schemeClr val="tx1"/>
              </a:solidFill>
              <a:effectLst/>
            </a:rPr>
            <a:t> </a:t>
          </a:r>
          <a:endParaRPr lang="en-US" sz="1800" b="1">
            <a:solidFill>
              <a:schemeClr val="tx1"/>
            </a:solidFill>
          </a:endParaRPr>
        </a:p>
      </xdr:txBody>
    </xdr:sp>
    <xdr:clientData/>
  </xdr:twoCellAnchor>
  <xdr:twoCellAnchor>
    <xdr:from>
      <xdr:col>14</xdr:col>
      <xdr:colOff>259080</xdr:colOff>
      <xdr:row>1</xdr:row>
      <xdr:rowOff>137160</xdr:rowOff>
    </xdr:from>
    <xdr:to>
      <xdr:col>17</xdr:col>
      <xdr:colOff>554280</xdr:colOff>
      <xdr:row>7</xdr:row>
      <xdr:rowOff>155880</xdr:rowOff>
    </xdr:to>
    <xdr:sp macro="" textlink="">
      <xdr:nvSpPr>
        <xdr:cNvPr id="25" name="Rectangle: Rounded Corners 24">
          <a:extLst>
            <a:ext uri="{FF2B5EF4-FFF2-40B4-BE49-F238E27FC236}">
              <a16:creationId xmlns:a16="http://schemas.microsoft.com/office/drawing/2014/main" id="{959C7EC1-E92B-49BC-AD62-9B7F66AEE8F1}"/>
            </a:ext>
          </a:extLst>
        </xdr:cNvPr>
        <xdr:cNvSpPr/>
      </xdr:nvSpPr>
      <xdr:spPr>
        <a:xfrm>
          <a:off x="8793480" y="320040"/>
          <a:ext cx="2124000" cy="1116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tx1"/>
              </a:solidFill>
              <a:effectLst/>
              <a:latin typeface="+mn-lt"/>
              <a:ea typeface="+mn-ea"/>
              <a:cs typeface="+mn-cs"/>
            </a:rPr>
            <a:t>Full-Time Employees</a:t>
          </a:r>
          <a:r>
            <a:rPr lang="en-US" sz="1600">
              <a:solidFill>
                <a:schemeClr val="tx1"/>
              </a:solidFill>
              <a:effectLst/>
            </a:rPr>
            <a:t> </a:t>
          </a:r>
          <a:endParaRPr lang="en-US" sz="1600">
            <a:solidFill>
              <a:schemeClr val="tx1"/>
            </a:solidFill>
          </a:endParaRPr>
        </a:p>
      </xdr:txBody>
    </xdr:sp>
    <xdr:clientData/>
  </xdr:twoCellAnchor>
  <xdr:twoCellAnchor>
    <xdr:from>
      <xdr:col>18</xdr:col>
      <xdr:colOff>335280</xdr:colOff>
      <xdr:row>1</xdr:row>
      <xdr:rowOff>137160</xdr:rowOff>
    </xdr:from>
    <xdr:to>
      <xdr:col>22</xdr:col>
      <xdr:colOff>20880</xdr:colOff>
      <xdr:row>7</xdr:row>
      <xdr:rowOff>155880</xdr:rowOff>
    </xdr:to>
    <xdr:sp macro="" textlink="">
      <xdr:nvSpPr>
        <xdr:cNvPr id="26" name="Rectangle: Rounded Corners 25">
          <a:extLst>
            <a:ext uri="{FF2B5EF4-FFF2-40B4-BE49-F238E27FC236}">
              <a16:creationId xmlns:a16="http://schemas.microsoft.com/office/drawing/2014/main" id="{CFA2F2D7-C9A3-4585-9F74-EB556C5B08B4}"/>
            </a:ext>
          </a:extLst>
        </xdr:cNvPr>
        <xdr:cNvSpPr/>
      </xdr:nvSpPr>
      <xdr:spPr>
        <a:xfrm>
          <a:off x="11308080" y="320040"/>
          <a:ext cx="2124000" cy="1116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i="0" u="none" strike="noStrike">
              <a:solidFill>
                <a:schemeClr val="tx1"/>
              </a:solidFill>
              <a:effectLst/>
              <a:latin typeface="+mn-lt"/>
              <a:ea typeface="+mn-ea"/>
              <a:cs typeface="+mn-cs"/>
            </a:rPr>
            <a:t>Gender Ratio</a:t>
          </a:r>
          <a:r>
            <a:rPr lang="en-US" sz="1800">
              <a:solidFill>
                <a:schemeClr val="tx1"/>
              </a:solidFill>
              <a:effectLst/>
            </a:rPr>
            <a:t> </a:t>
          </a:r>
          <a:endParaRPr lang="en-US" sz="1800">
            <a:solidFill>
              <a:schemeClr val="tx1"/>
            </a:solidFill>
          </a:endParaRPr>
        </a:p>
      </xdr:txBody>
    </xdr:sp>
    <xdr:clientData/>
  </xdr:twoCellAnchor>
  <xdr:twoCellAnchor>
    <xdr:from>
      <xdr:col>0</xdr:col>
      <xdr:colOff>228600</xdr:colOff>
      <xdr:row>5</xdr:row>
      <xdr:rowOff>22860</xdr:rowOff>
    </xdr:from>
    <xdr:to>
      <xdr:col>2</xdr:col>
      <xdr:colOff>485400</xdr:colOff>
      <xdr:row>35</xdr:row>
      <xdr:rowOff>152460</xdr:rowOff>
    </xdr:to>
    <xdr:sp macro="" textlink="">
      <xdr:nvSpPr>
        <xdr:cNvPr id="28" name="Rectangle: Rounded Corners 27">
          <a:extLst>
            <a:ext uri="{FF2B5EF4-FFF2-40B4-BE49-F238E27FC236}">
              <a16:creationId xmlns:a16="http://schemas.microsoft.com/office/drawing/2014/main" id="{4BB96FA4-8A06-47F9-92AB-2C467339D7B8}"/>
            </a:ext>
          </a:extLst>
        </xdr:cNvPr>
        <xdr:cNvSpPr/>
      </xdr:nvSpPr>
      <xdr:spPr>
        <a:xfrm>
          <a:off x="228600" y="937260"/>
          <a:ext cx="1476000" cy="5616000"/>
        </a:xfrm>
        <a:prstGeom prst="roundRect">
          <a:avLst>
            <a:gd name="adj" fmla="val 18996"/>
          </a:avLst>
        </a:prstGeom>
        <a:solidFill>
          <a:schemeClr val="tx2">
            <a:lumMod val="20000"/>
            <a:lumOff val="80000"/>
          </a:schemeClr>
        </a:solidFill>
        <a:ln w="19050">
          <a:solidFill>
            <a:srgbClr val="1E0CC6"/>
          </a:solidFill>
          <a:prstDash val="solid"/>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7620</xdr:colOff>
      <xdr:row>8</xdr:row>
      <xdr:rowOff>99060</xdr:rowOff>
    </xdr:from>
    <xdr:to>
      <xdr:col>9</xdr:col>
      <xdr:colOff>464820</xdr:colOff>
      <xdr:row>27</xdr:row>
      <xdr:rowOff>167640</xdr:rowOff>
    </xdr:to>
    <xdr:graphicFrame macro="">
      <xdr:nvGraphicFramePr>
        <xdr:cNvPr id="30" name="Chart 29">
          <a:extLst>
            <a:ext uri="{FF2B5EF4-FFF2-40B4-BE49-F238E27FC236}">
              <a16:creationId xmlns:a16="http://schemas.microsoft.com/office/drawing/2014/main" id="{13442C76-2099-4B31-BF09-F1B6B87402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312420</xdr:colOff>
      <xdr:row>8</xdr:row>
      <xdr:rowOff>106680</xdr:rowOff>
    </xdr:from>
    <xdr:to>
      <xdr:col>23</xdr:col>
      <xdr:colOff>190500</xdr:colOff>
      <xdr:row>27</xdr:row>
      <xdr:rowOff>166402</xdr:rowOff>
    </xdr:to>
    <xdr:graphicFrame macro="">
      <xdr:nvGraphicFramePr>
        <xdr:cNvPr id="31" name="Chart 30">
          <a:extLst>
            <a:ext uri="{FF2B5EF4-FFF2-40B4-BE49-F238E27FC236}">
              <a16:creationId xmlns:a16="http://schemas.microsoft.com/office/drawing/2014/main" id="{8805B005-0D64-4C60-8CF6-DF7E44CC1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601980</xdr:colOff>
      <xdr:row>28</xdr:row>
      <xdr:rowOff>76200</xdr:rowOff>
    </xdr:from>
    <xdr:to>
      <xdr:col>9</xdr:col>
      <xdr:colOff>434340</xdr:colOff>
      <xdr:row>39</xdr:row>
      <xdr:rowOff>8520</xdr:rowOff>
    </xdr:to>
    <xdr:graphicFrame macro="">
      <xdr:nvGraphicFramePr>
        <xdr:cNvPr id="32" name="Chart 31">
          <a:extLst>
            <a:ext uri="{FF2B5EF4-FFF2-40B4-BE49-F238E27FC236}">
              <a16:creationId xmlns:a16="http://schemas.microsoft.com/office/drawing/2014/main" id="{8AC4329D-9BB2-4CC2-9B48-EFB938C466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335280</xdr:colOff>
      <xdr:row>8</xdr:row>
      <xdr:rowOff>106680</xdr:rowOff>
    </xdr:from>
    <xdr:to>
      <xdr:col>16</xdr:col>
      <xdr:colOff>312420</xdr:colOff>
      <xdr:row>23</xdr:row>
      <xdr:rowOff>106680</xdr:rowOff>
    </xdr:to>
    <xdr:graphicFrame macro="">
      <xdr:nvGraphicFramePr>
        <xdr:cNvPr id="34" name="Chart 33">
          <a:extLst>
            <a:ext uri="{FF2B5EF4-FFF2-40B4-BE49-F238E27FC236}">
              <a16:creationId xmlns:a16="http://schemas.microsoft.com/office/drawing/2014/main" id="{0EB8BB50-E748-4F03-82CD-D27BF9D0B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594360</xdr:colOff>
      <xdr:row>23</xdr:row>
      <xdr:rowOff>91440</xdr:rowOff>
    </xdr:from>
    <xdr:to>
      <xdr:col>15</xdr:col>
      <xdr:colOff>66360</xdr:colOff>
      <xdr:row>25</xdr:row>
      <xdr:rowOff>121680</xdr:rowOff>
    </xdr:to>
    <xdr:sp macro="" textlink="">
      <xdr:nvSpPr>
        <xdr:cNvPr id="37" name="Rectangle: Rounded Corners 36">
          <a:extLst>
            <a:ext uri="{FF2B5EF4-FFF2-40B4-BE49-F238E27FC236}">
              <a16:creationId xmlns:a16="http://schemas.microsoft.com/office/drawing/2014/main" id="{95AB58DE-A9D2-40C5-9B19-B331FBA61142}"/>
            </a:ext>
          </a:extLst>
        </xdr:cNvPr>
        <xdr:cNvSpPr/>
      </xdr:nvSpPr>
      <xdr:spPr>
        <a:xfrm>
          <a:off x="6690360" y="4297680"/>
          <a:ext cx="2520000" cy="396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solidFill>
              <a:schemeClr val="tx1"/>
            </a:solidFill>
          </a:endParaRPr>
        </a:p>
      </xdr:txBody>
    </xdr:sp>
    <xdr:clientData/>
  </xdr:twoCellAnchor>
  <xdr:twoCellAnchor>
    <xdr:from>
      <xdr:col>11</xdr:col>
      <xdr:colOff>38100</xdr:colOff>
      <xdr:row>23</xdr:row>
      <xdr:rowOff>129540</xdr:rowOff>
    </xdr:from>
    <xdr:to>
      <xdr:col>15</xdr:col>
      <xdr:colOff>11700</xdr:colOff>
      <xdr:row>25</xdr:row>
      <xdr:rowOff>87780</xdr:rowOff>
    </xdr:to>
    <xdr:sp macro="" textlink="">
      <xdr:nvSpPr>
        <xdr:cNvPr id="36" name="Rectangle: Rounded Corners 35">
          <a:extLst>
            <a:ext uri="{FF2B5EF4-FFF2-40B4-BE49-F238E27FC236}">
              <a16:creationId xmlns:a16="http://schemas.microsoft.com/office/drawing/2014/main" id="{7864D634-7552-4A22-A88C-76484BA922A4}"/>
            </a:ext>
          </a:extLst>
        </xdr:cNvPr>
        <xdr:cNvSpPr/>
      </xdr:nvSpPr>
      <xdr:spPr>
        <a:xfrm>
          <a:off x="6743700" y="4335780"/>
          <a:ext cx="2412000" cy="324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Insights</a:t>
          </a:r>
        </a:p>
      </xdr:txBody>
    </xdr:sp>
    <xdr:clientData/>
  </xdr:twoCellAnchor>
  <xdr:twoCellAnchor>
    <xdr:from>
      <xdr:col>16</xdr:col>
      <xdr:colOff>259080</xdr:colOff>
      <xdr:row>28</xdr:row>
      <xdr:rowOff>83820</xdr:rowOff>
    </xdr:from>
    <xdr:to>
      <xdr:col>23</xdr:col>
      <xdr:colOff>205740</xdr:colOff>
      <xdr:row>39</xdr:row>
      <xdr:rowOff>16140</xdr:rowOff>
    </xdr:to>
    <xdr:graphicFrame macro="">
      <xdr:nvGraphicFramePr>
        <xdr:cNvPr id="33" name="Chart 32">
          <a:extLst>
            <a:ext uri="{FF2B5EF4-FFF2-40B4-BE49-F238E27FC236}">
              <a16:creationId xmlns:a16="http://schemas.microsoft.com/office/drawing/2014/main" id="{F254B98D-44E3-4708-9F39-F1E7CF47E2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502920</xdr:colOff>
      <xdr:row>25</xdr:row>
      <xdr:rowOff>152400</xdr:rowOff>
    </xdr:from>
    <xdr:to>
      <xdr:col>16</xdr:col>
      <xdr:colOff>195720</xdr:colOff>
      <xdr:row>38</xdr:row>
      <xdr:rowOff>78960</xdr:rowOff>
    </xdr:to>
    <xdr:sp macro="" textlink="">
      <xdr:nvSpPr>
        <xdr:cNvPr id="38" name="Rectangle 37">
          <a:extLst>
            <a:ext uri="{FF2B5EF4-FFF2-40B4-BE49-F238E27FC236}">
              <a16:creationId xmlns:a16="http://schemas.microsoft.com/office/drawing/2014/main" id="{BD1629EB-123A-95B1-8B5E-9B6357D18A74}"/>
            </a:ext>
          </a:extLst>
        </xdr:cNvPr>
        <xdr:cNvSpPr/>
      </xdr:nvSpPr>
      <xdr:spPr>
        <a:xfrm>
          <a:off x="5989320" y="4724400"/>
          <a:ext cx="3960000" cy="23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a:solidFill>
                <a:schemeClr val="tx1"/>
              </a:solidFill>
            </a:rPr>
            <a:t>1.</a:t>
          </a:r>
          <a:r>
            <a:rPr lang="en-US" sz="1050" b="1">
              <a:solidFill>
                <a:srgbClr val="1E0CC6"/>
              </a:solidFill>
            </a:rPr>
            <a:t> Sales is significantly understaffed vs other departments — risks         overworking existing employees and missing targets.</a:t>
          </a:r>
        </a:p>
        <a:p>
          <a:pPr algn="l"/>
          <a:r>
            <a:rPr lang="en-US" sz="1050" b="1">
              <a:solidFill>
                <a:schemeClr val="tx1"/>
              </a:solidFill>
            </a:rPr>
            <a:t>2.</a:t>
          </a:r>
          <a:r>
            <a:rPr lang="en-US" sz="1050" b="1">
              <a:solidFill>
                <a:srgbClr val="1E0CC6"/>
              </a:solidFill>
            </a:rPr>
            <a:t> Full-Time staff are the minority at 27% — over-reliance on flexible contracts weakens workforce loyalty and institutional knowledge.</a:t>
          </a:r>
        </a:p>
        <a:p>
          <a:pPr algn="l"/>
          <a:r>
            <a:rPr lang="en-US" sz="1050" b="1">
              <a:solidFill>
                <a:schemeClr val="tx1"/>
              </a:solidFill>
            </a:rPr>
            <a:t>3.</a:t>
          </a:r>
          <a:r>
            <a:rPr lang="en-US" sz="1050" b="1">
              <a:solidFill>
                <a:srgbClr val="1E0CC6"/>
              </a:solidFill>
            </a:rPr>
            <a:t> City distribution looks balanced — no major geographic concentration risk. ✅</a:t>
          </a:r>
        </a:p>
        <a:p>
          <a:pPr algn="l"/>
          <a:r>
            <a:rPr lang="en-US" sz="1050" b="1">
              <a:solidFill>
                <a:schemeClr val="tx1"/>
              </a:solidFill>
            </a:rPr>
            <a:t>4.</a:t>
          </a:r>
          <a:r>
            <a:rPr lang="en-US" sz="1050" b="1">
              <a:solidFill>
                <a:srgbClr val="1E0CC6"/>
              </a:solidFill>
            </a:rPr>
            <a:t> IT is heavily female-dominated at 25 Males vs 64 Females — gender representation for males needs urgent attention in this department.</a:t>
          </a:r>
        </a:p>
        <a:p>
          <a:pPr algn="l"/>
          <a:r>
            <a:rPr lang="en-US" sz="1050" b="1">
              <a:solidFill>
                <a:schemeClr val="tx1"/>
              </a:solidFill>
            </a:rPr>
            <a:t>5.</a:t>
          </a:r>
          <a:r>
            <a:rPr lang="en-US" sz="1050" b="1">
              <a:solidFill>
                <a:srgbClr val="1E0CC6"/>
              </a:solidFill>
            </a:rPr>
            <a:t> OND holders at 131 are significantly fewer than other qualifications — the organisation may be overlooking entry-level talent pipelines.</a:t>
          </a:r>
        </a:p>
        <a:p>
          <a:pPr algn="l"/>
          <a:endParaRPr lang="en-US" sz="1050" b="1">
            <a:solidFill>
              <a:srgbClr val="1E0CC6"/>
            </a:solidFill>
          </a:endParaRPr>
        </a:p>
      </xdr:txBody>
    </xdr:sp>
    <xdr:clientData/>
  </xdr:twoCellAnchor>
  <xdr:twoCellAnchor>
    <xdr:from>
      <xdr:col>15</xdr:col>
      <xdr:colOff>7620</xdr:colOff>
      <xdr:row>3</xdr:row>
      <xdr:rowOff>144780</xdr:rowOff>
    </xdr:from>
    <xdr:to>
      <xdr:col>17</xdr:col>
      <xdr:colOff>336420</xdr:colOff>
      <xdr:row>7</xdr:row>
      <xdr:rowOff>97260</xdr:rowOff>
    </xdr:to>
    <xdr:sp macro="" textlink="'Pivot Table 1'!K4">
      <xdr:nvSpPr>
        <xdr:cNvPr id="43" name="Rectangle: Rounded Corners 42">
          <a:extLst>
            <a:ext uri="{FF2B5EF4-FFF2-40B4-BE49-F238E27FC236}">
              <a16:creationId xmlns:a16="http://schemas.microsoft.com/office/drawing/2014/main" id="{B5DC6742-F932-48F7-9826-E58064D98578}"/>
            </a:ext>
          </a:extLst>
        </xdr:cNvPr>
        <xdr:cNvSpPr/>
      </xdr:nvSpPr>
      <xdr:spPr>
        <a:xfrm>
          <a:off x="9151620" y="693420"/>
          <a:ext cx="1548000" cy="684000"/>
        </a:xfrm>
        <a:prstGeom prst="roundRect">
          <a:avLst>
            <a:gd name="adj" fmla="val 18996"/>
          </a:avLst>
        </a:prstGeom>
        <a:solidFill>
          <a:schemeClr val="accent1">
            <a:lumMod val="20000"/>
            <a:lumOff val="80000"/>
          </a:schemeClr>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1CCD6E-23E0-4248-A7AE-16EE5F2B3592}" type="TxLink">
            <a:rPr lang="en-US" sz="2000" b="1" i="0" u="none" strike="noStrike">
              <a:solidFill>
                <a:srgbClr val="1F1BC3"/>
              </a:solidFill>
              <a:latin typeface="Calibri"/>
              <a:cs typeface="Calibri"/>
            </a:rPr>
            <a:pPr algn="ctr"/>
            <a:t>27.1%</a:t>
          </a:fld>
          <a:endParaRPr lang="en-US" sz="2000" b="1">
            <a:solidFill>
              <a:srgbClr val="1F1BC3"/>
            </a:solidFill>
          </a:endParaRPr>
        </a:p>
      </xdr:txBody>
    </xdr:sp>
    <xdr:clientData/>
  </xdr:twoCellAnchor>
  <xdr:twoCellAnchor>
    <xdr:from>
      <xdr:col>10</xdr:col>
      <xdr:colOff>502920</xdr:colOff>
      <xdr:row>3</xdr:row>
      <xdr:rowOff>152400</xdr:rowOff>
    </xdr:from>
    <xdr:to>
      <xdr:col>13</xdr:col>
      <xdr:colOff>222120</xdr:colOff>
      <xdr:row>7</xdr:row>
      <xdr:rowOff>104880</xdr:rowOff>
    </xdr:to>
    <xdr:sp macro="" textlink="'Pivot Table 1'!K3">
      <xdr:nvSpPr>
        <xdr:cNvPr id="45" name="Rectangle: Rounded Corners 44">
          <a:extLst>
            <a:ext uri="{FF2B5EF4-FFF2-40B4-BE49-F238E27FC236}">
              <a16:creationId xmlns:a16="http://schemas.microsoft.com/office/drawing/2014/main" id="{F3F690B8-0E60-4737-AA2D-3AA81C7F2909}"/>
            </a:ext>
          </a:extLst>
        </xdr:cNvPr>
        <xdr:cNvSpPr/>
      </xdr:nvSpPr>
      <xdr:spPr>
        <a:xfrm>
          <a:off x="6598920" y="701040"/>
          <a:ext cx="1548000" cy="684000"/>
        </a:xfrm>
        <a:prstGeom prst="roundRect">
          <a:avLst>
            <a:gd name="adj" fmla="val 18996"/>
          </a:avLst>
        </a:prstGeom>
        <a:solidFill>
          <a:schemeClr val="accent1">
            <a:lumMod val="20000"/>
            <a:lumOff val="80000"/>
          </a:schemeClr>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B3A7935-CBE9-42A2-8B3E-3103964EC78D}" type="TxLink">
            <a:rPr lang="en-US" sz="2000" b="1" i="0" u="none" strike="noStrike">
              <a:solidFill>
                <a:srgbClr val="1F1BC3"/>
              </a:solidFill>
              <a:latin typeface="Calibri"/>
              <a:cs typeface="Calibri"/>
            </a:rPr>
            <a:pPr algn="ctr"/>
            <a:t>40</a:t>
          </a:fld>
          <a:endParaRPr lang="en-US" sz="2000" b="1">
            <a:solidFill>
              <a:srgbClr val="1F1BC3"/>
            </a:solidFill>
          </a:endParaRPr>
        </a:p>
      </xdr:txBody>
    </xdr:sp>
    <xdr:clientData/>
  </xdr:twoCellAnchor>
  <xdr:twoCellAnchor>
    <xdr:from>
      <xdr:col>6</xdr:col>
      <xdr:colOff>411480</xdr:colOff>
      <xdr:row>3</xdr:row>
      <xdr:rowOff>160020</xdr:rowOff>
    </xdr:from>
    <xdr:to>
      <xdr:col>9</xdr:col>
      <xdr:colOff>130680</xdr:colOff>
      <xdr:row>7</xdr:row>
      <xdr:rowOff>112500</xdr:rowOff>
    </xdr:to>
    <xdr:sp macro="" textlink="'Pivot Table 1'!K2">
      <xdr:nvSpPr>
        <xdr:cNvPr id="46" name="Rectangle: Rounded Corners 45">
          <a:extLst>
            <a:ext uri="{FF2B5EF4-FFF2-40B4-BE49-F238E27FC236}">
              <a16:creationId xmlns:a16="http://schemas.microsoft.com/office/drawing/2014/main" id="{B484850D-FE6B-4952-BB29-78895BDF375C}"/>
            </a:ext>
          </a:extLst>
        </xdr:cNvPr>
        <xdr:cNvSpPr/>
      </xdr:nvSpPr>
      <xdr:spPr>
        <a:xfrm>
          <a:off x="4069080" y="708660"/>
          <a:ext cx="1548000" cy="684000"/>
        </a:xfrm>
        <a:prstGeom prst="roundRect">
          <a:avLst>
            <a:gd name="adj" fmla="val 18996"/>
          </a:avLst>
        </a:prstGeom>
        <a:solidFill>
          <a:schemeClr val="accent1">
            <a:lumMod val="20000"/>
            <a:lumOff val="80000"/>
          </a:schemeClr>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EE08150-D6C3-4C24-ABE0-D9CD44A0971F}" type="TxLink">
            <a:rPr lang="en-US" sz="2000" b="1" i="0" u="none" strike="noStrike">
              <a:solidFill>
                <a:srgbClr val="1F1BC3"/>
              </a:solidFill>
              <a:latin typeface="Calibri"/>
              <a:cs typeface="Calibri"/>
            </a:rPr>
            <a:pPr algn="ctr"/>
            <a:t>985</a:t>
          </a:fld>
          <a:endParaRPr lang="en-US" sz="2000" b="1">
            <a:solidFill>
              <a:srgbClr val="1F1BC3"/>
            </a:solidFill>
          </a:endParaRPr>
        </a:p>
      </xdr:txBody>
    </xdr:sp>
    <xdr:clientData/>
  </xdr:twoCellAnchor>
  <xdr:twoCellAnchor>
    <xdr:from>
      <xdr:col>18</xdr:col>
      <xdr:colOff>373380</xdr:colOff>
      <xdr:row>3</xdr:row>
      <xdr:rowOff>152400</xdr:rowOff>
    </xdr:from>
    <xdr:to>
      <xdr:col>20</xdr:col>
      <xdr:colOff>126180</xdr:colOff>
      <xdr:row>7</xdr:row>
      <xdr:rowOff>104880</xdr:rowOff>
    </xdr:to>
    <xdr:sp macro="" textlink="'Pivot Table 1'!K5">
      <xdr:nvSpPr>
        <xdr:cNvPr id="47" name="Rectangle: Rounded Corners 46">
          <a:extLst>
            <a:ext uri="{FF2B5EF4-FFF2-40B4-BE49-F238E27FC236}">
              <a16:creationId xmlns:a16="http://schemas.microsoft.com/office/drawing/2014/main" id="{7BF4598A-A1C8-46B1-A061-FA3272BEE0C1}"/>
            </a:ext>
          </a:extLst>
        </xdr:cNvPr>
        <xdr:cNvSpPr/>
      </xdr:nvSpPr>
      <xdr:spPr>
        <a:xfrm>
          <a:off x="11346180" y="701040"/>
          <a:ext cx="972000" cy="684000"/>
        </a:xfrm>
        <a:prstGeom prst="roundRect">
          <a:avLst>
            <a:gd name="adj" fmla="val 18996"/>
          </a:avLst>
        </a:prstGeom>
        <a:solidFill>
          <a:schemeClr val="accent1">
            <a:lumMod val="20000"/>
            <a:lumOff val="80000"/>
          </a:schemeClr>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1F92A18-D270-413A-A0C2-E79453BB9502}" type="TxLink">
            <a:rPr lang="en-US" sz="1800" b="1" i="0" u="none" strike="noStrike">
              <a:solidFill>
                <a:srgbClr val="1F1BC3"/>
              </a:solidFill>
              <a:latin typeface="Calibri"/>
              <a:cs typeface="Calibri"/>
            </a:rPr>
            <a:pPr algn="ctr"/>
            <a:t>37.2%</a:t>
          </a:fld>
          <a:endParaRPr lang="en-US" sz="1800" b="1">
            <a:solidFill>
              <a:srgbClr val="1F1BC3"/>
            </a:solidFill>
          </a:endParaRPr>
        </a:p>
      </xdr:txBody>
    </xdr:sp>
    <xdr:clientData/>
  </xdr:twoCellAnchor>
  <xdr:twoCellAnchor>
    <xdr:from>
      <xdr:col>20</xdr:col>
      <xdr:colOff>213360</xdr:colOff>
      <xdr:row>3</xdr:row>
      <xdr:rowOff>152400</xdr:rowOff>
    </xdr:from>
    <xdr:to>
      <xdr:col>21</xdr:col>
      <xdr:colOff>575760</xdr:colOff>
      <xdr:row>7</xdr:row>
      <xdr:rowOff>104880</xdr:rowOff>
    </xdr:to>
    <xdr:sp macro="" textlink="'Pivot Table 1'!K6">
      <xdr:nvSpPr>
        <xdr:cNvPr id="48" name="Rectangle: Rounded Corners 47">
          <a:extLst>
            <a:ext uri="{FF2B5EF4-FFF2-40B4-BE49-F238E27FC236}">
              <a16:creationId xmlns:a16="http://schemas.microsoft.com/office/drawing/2014/main" id="{B48F309D-D8E7-470D-9AE6-DA15DA0785BE}"/>
            </a:ext>
          </a:extLst>
        </xdr:cNvPr>
        <xdr:cNvSpPr/>
      </xdr:nvSpPr>
      <xdr:spPr>
        <a:xfrm>
          <a:off x="12405360" y="701040"/>
          <a:ext cx="972000" cy="684000"/>
        </a:xfrm>
        <a:prstGeom prst="roundRect">
          <a:avLst>
            <a:gd name="adj" fmla="val 18996"/>
          </a:avLst>
        </a:prstGeom>
        <a:solidFill>
          <a:schemeClr val="accent1">
            <a:lumMod val="20000"/>
            <a:lumOff val="80000"/>
          </a:schemeClr>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5BEBED6-4021-4C65-B46C-10B326452FB3}" type="TxLink">
            <a:rPr lang="en-US" sz="1800" b="1" i="0" u="none" strike="noStrike">
              <a:solidFill>
                <a:srgbClr val="1F1BC3"/>
              </a:solidFill>
              <a:latin typeface="Calibri"/>
              <a:cs typeface="Calibri"/>
            </a:rPr>
            <a:pPr algn="ctr"/>
            <a:t>62.8%</a:t>
          </a:fld>
          <a:endParaRPr lang="en-US" sz="1800" b="1">
            <a:solidFill>
              <a:srgbClr val="1F1BC3"/>
            </a:solidFill>
          </a:endParaRPr>
        </a:p>
      </xdr:txBody>
    </xdr:sp>
    <xdr:clientData/>
  </xdr:twoCellAnchor>
  <xdr:twoCellAnchor>
    <xdr:from>
      <xdr:col>20</xdr:col>
      <xdr:colOff>178080</xdr:colOff>
      <xdr:row>4</xdr:row>
      <xdr:rowOff>7620</xdr:rowOff>
    </xdr:from>
    <xdr:to>
      <xdr:col>20</xdr:col>
      <xdr:colOff>178080</xdr:colOff>
      <xdr:row>7</xdr:row>
      <xdr:rowOff>70980</xdr:rowOff>
    </xdr:to>
    <xdr:cxnSp macro="">
      <xdr:nvCxnSpPr>
        <xdr:cNvPr id="50" name="Straight Connector 49">
          <a:extLst>
            <a:ext uri="{FF2B5EF4-FFF2-40B4-BE49-F238E27FC236}">
              <a16:creationId xmlns:a16="http://schemas.microsoft.com/office/drawing/2014/main" id="{FC62CD10-2D4C-88A1-36AD-6B2C1706593C}"/>
            </a:ext>
          </a:extLst>
        </xdr:cNvPr>
        <xdr:cNvCxnSpPr/>
      </xdr:nvCxnSpPr>
      <xdr:spPr>
        <a:xfrm flipH="1">
          <a:off x="12370080" y="739140"/>
          <a:ext cx="0" cy="612000"/>
        </a:xfrm>
        <a:prstGeom prst="line">
          <a:avLst/>
        </a:prstGeom>
        <a:ln w="19050">
          <a:solidFill>
            <a:srgbClr val="1E0CC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388620</xdr:colOff>
      <xdr:row>5</xdr:row>
      <xdr:rowOff>160020</xdr:rowOff>
    </xdr:from>
    <xdr:to>
      <xdr:col>20</xdr:col>
      <xdr:colOff>105420</xdr:colOff>
      <xdr:row>7</xdr:row>
      <xdr:rowOff>82260</xdr:rowOff>
    </xdr:to>
    <xdr:sp macro="" textlink="">
      <xdr:nvSpPr>
        <xdr:cNvPr id="51" name="Rectangle: Rounded Corners 50">
          <a:extLst>
            <a:ext uri="{FF2B5EF4-FFF2-40B4-BE49-F238E27FC236}">
              <a16:creationId xmlns:a16="http://schemas.microsoft.com/office/drawing/2014/main" id="{D510ECAE-4370-4521-A544-C676961AF710}"/>
            </a:ext>
          </a:extLst>
        </xdr:cNvPr>
        <xdr:cNvSpPr/>
      </xdr:nvSpPr>
      <xdr:spPr>
        <a:xfrm>
          <a:off x="11361420" y="1074420"/>
          <a:ext cx="936000" cy="288000"/>
        </a:xfrm>
        <a:prstGeom prst="roundRect">
          <a:avLst>
            <a:gd name="adj" fmla="val 18996"/>
          </a:avLst>
        </a:prstGeom>
        <a:no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Male</a:t>
          </a:r>
        </a:p>
      </xdr:txBody>
    </xdr:sp>
    <xdr:clientData/>
  </xdr:twoCellAnchor>
  <xdr:twoCellAnchor>
    <xdr:from>
      <xdr:col>20</xdr:col>
      <xdr:colOff>228600</xdr:colOff>
      <xdr:row>5</xdr:row>
      <xdr:rowOff>167640</xdr:rowOff>
    </xdr:from>
    <xdr:to>
      <xdr:col>21</xdr:col>
      <xdr:colOff>555000</xdr:colOff>
      <xdr:row>7</xdr:row>
      <xdr:rowOff>89880</xdr:rowOff>
    </xdr:to>
    <xdr:sp macro="" textlink="">
      <xdr:nvSpPr>
        <xdr:cNvPr id="52" name="Rectangle: Rounded Corners 51">
          <a:extLst>
            <a:ext uri="{FF2B5EF4-FFF2-40B4-BE49-F238E27FC236}">
              <a16:creationId xmlns:a16="http://schemas.microsoft.com/office/drawing/2014/main" id="{CF30277E-0894-4307-B664-9F80534510A8}"/>
            </a:ext>
          </a:extLst>
        </xdr:cNvPr>
        <xdr:cNvSpPr/>
      </xdr:nvSpPr>
      <xdr:spPr>
        <a:xfrm>
          <a:off x="12420600" y="1082040"/>
          <a:ext cx="936000" cy="288000"/>
        </a:xfrm>
        <a:prstGeom prst="roundRect">
          <a:avLst>
            <a:gd name="adj" fmla="val 18996"/>
          </a:avLst>
        </a:prstGeom>
        <a:no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Female</a:t>
          </a:r>
        </a:p>
      </xdr:txBody>
    </xdr:sp>
    <xdr:clientData/>
  </xdr:twoCellAnchor>
  <xdr:twoCellAnchor editAs="oneCell">
    <xdr:from>
      <xdr:col>0</xdr:col>
      <xdr:colOff>251460</xdr:colOff>
      <xdr:row>6</xdr:row>
      <xdr:rowOff>38100</xdr:rowOff>
    </xdr:from>
    <xdr:to>
      <xdr:col>2</xdr:col>
      <xdr:colOff>472260</xdr:colOff>
      <xdr:row>16</xdr:row>
      <xdr:rowOff>152400</xdr:rowOff>
    </xdr:to>
    <mc:AlternateContent xmlns:mc="http://schemas.openxmlformats.org/markup-compatibility/2006" xmlns:a14="http://schemas.microsoft.com/office/drawing/2010/main">
      <mc:Choice Requires="a14">
        <xdr:graphicFrame macro="">
          <xdr:nvGraphicFramePr>
            <xdr:cNvPr id="53" name="Department 1">
              <a:extLst>
                <a:ext uri="{FF2B5EF4-FFF2-40B4-BE49-F238E27FC236}">
                  <a16:creationId xmlns:a16="http://schemas.microsoft.com/office/drawing/2014/main" id="{88AD1053-BC59-40D5-A880-66C17DCA5AC9}"/>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251460" y="1135380"/>
              <a:ext cx="1440000" cy="1943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243840</xdr:colOff>
      <xdr:row>18</xdr:row>
      <xdr:rowOff>30480</xdr:rowOff>
    </xdr:from>
    <xdr:to>
      <xdr:col>2</xdr:col>
      <xdr:colOff>464640</xdr:colOff>
      <xdr:row>24</xdr:row>
      <xdr:rowOff>157200</xdr:rowOff>
    </xdr:to>
    <mc:AlternateContent xmlns:mc="http://schemas.openxmlformats.org/markup-compatibility/2006" xmlns:a14="http://schemas.microsoft.com/office/drawing/2010/main">
      <mc:Choice Requires="a14">
        <xdr:graphicFrame macro="">
          <xdr:nvGraphicFramePr>
            <xdr:cNvPr id="54" name="Employment_Status 1">
              <a:extLst>
                <a:ext uri="{FF2B5EF4-FFF2-40B4-BE49-F238E27FC236}">
                  <a16:creationId xmlns:a16="http://schemas.microsoft.com/office/drawing/2014/main" id="{59F30F90-DDCB-4618-941A-603B8E9BA6B8}"/>
                </a:ext>
              </a:extLst>
            </xdr:cNvPr>
            <xdr:cNvGraphicFramePr/>
          </xdr:nvGraphicFramePr>
          <xdr:xfrm>
            <a:off x="0" y="0"/>
            <a:ext cx="0" cy="0"/>
          </xdr:xfrm>
          <a:graphic>
            <a:graphicData uri="http://schemas.microsoft.com/office/drawing/2010/slicer">
              <sle:slicer xmlns:sle="http://schemas.microsoft.com/office/drawing/2010/slicer" name="Employment_Status 1"/>
            </a:graphicData>
          </a:graphic>
        </xdr:graphicFrame>
      </mc:Choice>
      <mc:Fallback xmlns="">
        <xdr:sp macro="" textlink="">
          <xdr:nvSpPr>
            <xdr:cNvPr id="0" name=""/>
            <xdr:cNvSpPr>
              <a:spLocks noTextEdit="1"/>
            </xdr:cNvSpPr>
          </xdr:nvSpPr>
          <xdr:spPr>
            <a:xfrm>
              <a:off x="243840" y="3322320"/>
              <a:ext cx="1440000" cy="12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243840</xdr:colOff>
      <xdr:row>25</xdr:row>
      <xdr:rowOff>144780</xdr:rowOff>
    </xdr:from>
    <xdr:to>
      <xdr:col>2</xdr:col>
      <xdr:colOff>464640</xdr:colOff>
      <xdr:row>29</xdr:row>
      <xdr:rowOff>25260</xdr:rowOff>
    </xdr:to>
    <mc:AlternateContent xmlns:mc="http://schemas.openxmlformats.org/markup-compatibility/2006" xmlns:a14="http://schemas.microsoft.com/office/drawing/2010/main">
      <mc:Choice Requires="a14">
        <xdr:graphicFrame macro="">
          <xdr:nvGraphicFramePr>
            <xdr:cNvPr id="55" name="Gender 1">
              <a:extLst>
                <a:ext uri="{FF2B5EF4-FFF2-40B4-BE49-F238E27FC236}">
                  <a16:creationId xmlns:a16="http://schemas.microsoft.com/office/drawing/2014/main" id="{861B4AB4-7191-4A78-B33C-31E2F631892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43840" y="4716780"/>
              <a:ext cx="1440000" cy="61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266700</xdr:colOff>
      <xdr:row>5</xdr:row>
      <xdr:rowOff>129540</xdr:rowOff>
    </xdr:from>
    <xdr:to>
      <xdr:col>2</xdr:col>
      <xdr:colOff>127500</xdr:colOff>
      <xdr:row>7</xdr:row>
      <xdr:rowOff>123780</xdr:rowOff>
    </xdr:to>
    <xdr:sp macro="" textlink="">
      <xdr:nvSpPr>
        <xdr:cNvPr id="56" name="Rectangle: Rounded Corners 55">
          <a:extLst>
            <a:ext uri="{FF2B5EF4-FFF2-40B4-BE49-F238E27FC236}">
              <a16:creationId xmlns:a16="http://schemas.microsoft.com/office/drawing/2014/main" id="{1E161E76-88D5-93C4-37C7-34F4C55A7F55}"/>
            </a:ext>
          </a:extLst>
        </xdr:cNvPr>
        <xdr:cNvSpPr/>
      </xdr:nvSpPr>
      <xdr:spPr>
        <a:xfrm>
          <a:off x="266700" y="1043940"/>
          <a:ext cx="1080000" cy="360000"/>
        </a:xfrm>
        <a:prstGeom prst="roundRect">
          <a:avLst>
            <a:gd name="adj" fmla="val 46653"/>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95000"/>
                  <a:lumOff val="5000"/>
                </a:schemeClr>
              </a:solidFill>
            </a:rPr>
            <a:t>Department</a:t>
          </a:r>
        </a:p>
      </xdr:txBody>
    </xdr:sp>
    <xdr:clientData/>
  </xdr:twoCellAnchor>
  <xdr:twoCellAnchor editAs="oneCell">
    <xdr:from>
      <xdr:col>0</xdr:col>
      <xdr:colOff>541024</xdr:colOff>
      <xdr:row>32</xdr:row>
      <xdr:rowOff>1</xdr:rowOff>
    </xdr:from>
    <xdr:to>
      <xdr:col>2</xdr:col>
      <xdr:colOff>173238</xdr:colOff>
      <xdr:row>35</xdr:row>
      <xdr:rowOff>135361</xdr:rowOff>
    </xdr:to>
    <xdr:pic>
      <xdr:nvPicPr>
        <xdr:cNvPr id="60" name="Picture 59">
          <a:extLst>
            <a:ext uri="{FF2B5EF4-FFF2-40B4-BE49-F238E27FC236}">
              <a16:creationId xmlns:a16="http://schemas.microsoft.com/office/drawing/2014/main" id="{CC61B168-78C0-E425-745E-E298D783BF48}"/>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6850" t="29104" r="3636" b="5446"/>
        <a:stretch>
          <a:fillRect/>
        </a:stretch>
      </xdr:blipFill>
      <xdr:spPr>
        <a:xfrm>
          <a:off x="541024" y="5852161"/>
          <a:ext cx="851414" cy="684000"/>
        </a:xfrm>
        <a:prstGeom prst="roundRect">
          <a:avLst/>
        </a:prstGeom>
        <a:ln w="19050">
          <a:solidFill>
            <a:srgbClr val="1F1BC3"/>
          </a:solidFill>
        </a:ln>
        <a:effectLst>
          <a:glow rad="63500">
            <a:schemeClr val="accent1">
              <a:satMod val="175000"/>
              <a:alpha val="40000"/>
            </a:schemeClr>
          </a:glow>
        </a:effectLst>
      </xdr:spPr>
    </xdr:pic>
    <xdr:clientData/>
  </xdr:twoCellAnchor>
  <xdr:twoCellAnchor>
    <xdr:from>
      <xdr:col>0</xdr:col>
      <xdr:colOff>251460</xdr:colOff>
      <xdr:row>16</xdr:row>
      <xdr:rowOff>144780</xdr:rowOff>
    </xdr:from>
    <xdr:to>
      <xdr:col>2</xdr:col>
      <xdr:colOff>148260</xdr:colOff>
      <xdr:row>19</xdr:row>
      <xdr:rowOff>136140</xdr:rowOff>
    </xdr:to>
    <xdr:sp macro="" textlink="">
      <xdr:nvSpPr>
        <xdr:cNvPr id="57" name="Rectangle: Rounded Corners 56">
          <a:extLst>
            <a:ext uri="{FF2B5EF4-FFF2-40B4-BE49-F238E27FC236}">
              <a16:creationId xmlns:a16="http://schemas.microsoft.com/office/drawing/2014/main" id="{C73A5678-0A02-4A74-B69B-D2FF129C789E}"/>
            </a:ext>
          </a:extLst>
        </xdr:cNvPr>
        <xdr:cNvSpPr/>
      </xdr:nvSpPr>
      <xdr:spPr>
        <a:xfrm>
          <a:off x="251460" y="3070860"/>
          <a:ext cx="1116000" cy="540000"/>
        </a:xfrm>
        <a:prstGeom prst="roundRect">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lumMod val="95000"/>
                  <a:lumOff val="5000"/>
                </a:schemeClr>
              </a:solidFill>
            </a:rPr>
            <a:t>Employment </a:t>
          </a:r>
        </a:p>
        <a:p>
          <a:pPr algn="ctr"/>
          <a:r>
            <a:rPr lang="en-US" sz="1200" b="1">
              <a:solidFill>
                <a:schemeClr val="tx1">
                  <a:lumMod val="95000"/>
                  <a:lumOff val="5000"/>
                </a:schemeClr>
              </a:solidFill>
            </a:rPr>
            <a:t>Status</a:t>
          </a:r>
        </a:p>
      </xdr:txBody>
    </xdr:sp>
    <xdr:clientData/>
  </xdr:twoCellAnchor>
  <xdr:twoCellAnchor>
    <xdr:from>
      <xdr:col>0</xdr:col>
      <xdr:colOff>251460</xdr:colOff>
      <xdr:row>24</xdr:row>
      <xdr:rowOff>160020</xdr:rowOff>
    </xdr:from>
    <xdr:to>
      <xdr:col>2</xdr:col>
      <xdr:colOff>112260</xdr:colOff>
      <xdr:row>27</xdr:row>
      <xdr:rowOff>64920</xdr:rowOff>
    </xdr:to>
    <xdr:sp macro="" textlink="">
      <xdr:nvSpPr>
        <xdr:cNvPr id="58" name="Rectangle: Rounded Corners 57">
          <a:extLst>
            <a:ext uri="{FF2B5EF4-FFF2-40B4-BE49-F238E27FC236}">
              <a16:creationId xmlns:a16="http://schemas.microsoft.com/office/drawing/2014/main" id="{2A0E63C4-1DC3-4990-829A-FC4FAAB2C520}"/>
            </a:ext>
          </a:extLst>
        </xdr:cNvPr>
        <xdr:cNvSpPr/>
      </xdr:nvSpPr>
      <xdr:spPr>
        <a:xfrm>
          <a:off x="251460" y="4549140"/>
          <a:ext cx="1080000" cy="453540"/>
        </a:xfrm>
        <a:prstGeom prst="roundRect">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lumMod val="95000"/>
                  <a:lumOff val="5000"/>
                </a:schemeClr>
              </a:solidFill>
            </a:rPr>
            <a:t>Gender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236220</xdr:colOff>
      <xdr:row>1</xdr:row>
      <xdr:rowOff>0</xdr:rowOff>
    </xdr:from>
    <xdr:to>
      <xdr:col>23</xdr:col>
      <xdr:colOff>266700</xdr:colOff>
      <xdr:row>39</xdr:row>
      <xdr:rowOff>53340</xdr:rowOff>
    </xdr:to>
    <xdr:sp macro="" textlink="">
      <xdr:nvSpPr>
        <xdr:cNvPr id="2" name="Rectangle: Rounded Corners 1">
          <a:extLst>
            <a:ext uri="{FF2B5EF4-FFF2-40B4-BE49-F238E27FC236}">
              <a16:creationId xmlns:a16="http://schemas.microsoft.com/office/drawing/2014/main" id="{E82BE443-F5D3-4628-8274-4DF717668FF9}"/>
            </a:ext>
          </a:extLst>
        </xdr:cNvPr>
        <xdr:cNvSpPr/>
      </xdr:nvSpPr>
      <xdr:spPr>
        <a:xfrm>
          <a:off x="845820" y="182880"/>
          <a:ext cx="13441680" cy="7002780"/>
        </a:xfrm>
        <a:prstGeom prst="roundRect">
          <a:avLst>
            <a:gd name="adj" fmla="val 5973"/>
          </a:avLst>
        </a:prstGeom>
        <a:solidFill>
          <a:schemeClr val="bg1"/>
        </a:solidFill>
        <a:ln w="28575">
          <a:solidFill>
            <a:srgbClr val="1E0CC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4</xdr:row>
      <xdr:rowOff>129540</xdr:rowOff>
    </xdr:from>
    <xdr:to>
      <xdr:col>2</xdr:col>
      <xdr:colOff>571500</xdr:colOff>
      <xdr:row>36</xdr:row>
      <xdr:rowOff>60960</xdr:rowOff>
    </xdr:to>
    <xdr:sp macro="" textlink="">
      <xdr:nvSpPr>
        <xdr:cNvPr id="3" name="Rectangle: Rounded Corners 2">
          <a:extLst>
            <a:ext uri="{FF2B5EF4-FFF2-40B4-BE49-F238E27FC236}">
              <a16:creationId xmlns:a16="http://schemas.microsoft.com/office/drawing/2014/main" id="{4DDB588C-0FAE-4381-A8E7-6BC728DA2409}"/>
            </a:ext>
          </a:extLst>
        </xdr:cNvPr>
        <xdr:cNvSpPr/>
      </xdr:nvSpPr>
      <xdr:spPr>
        <a:xfrm>
          <a:off x="152400" y="861060"/>
          <a:ext cx="1638300" cy="5783580"/>
        </a:xfrm>
        <a:prstGeom prst="roundRect">
          <a:avLst>
            <a:gd name="adj" fmla="val 18996"/>
          </a:avLst>
        </a:prstGeom>
        <a:solidFill>
          <a:schemeClr val="accent1">
            <a:lumMod val="20000"/>
            <a:lumOff val="80000"/>
          </a:schemeClr>
        </a:solidFill>
        <a:ln w="38100">
          <a:solidFill>
            <a:srgbClr val="1E0CC6"/>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83820</xdr:colOff>
      <xdr:row>1</xdr:row>
      <xdr:rowOff>114300</xdr:rowOff>
    </xdr:from>
    <xdr:to>
      <xdr:col>9</xdr:col>
      <xdr:colOff>559020</xdr:colOff>
      <xdr:row>8</xdr:row>
      <xdr:rowOff>0</xdr:rowOff>
    </xdr:to>
    <xdr:sp macro="" textlink="">
      <xdr:nvSpPr>
        <xdr:cNvPr id="4" name="Rectangle: Rounded Corners 3">
          <a:extLst>
            <a:ext uri="{FF2B5EF4-FFF2-40B4-BE49-F238E27FC236}">
              <a16:creationId xmlns:a16="http://schemas.microsoft.com/office/drawing/2014/main" id="{FCCE3FB6-414C-4FCD-BE5A-5FBDEB3129D4}"/>
            </a:ext>
          </a:extLst>
        </xdr:cNvPr>
        <xdr:cNvSpPr/>
      </xdr:nvSpPr>
      <xdr:spPr>
        <a:xfrm>
          <a:off x="3741420" y="297180"/>
          <a:ext cx="2304000" cy="116586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220980</xdr:colOff>
      <xdr:row>1</xdr:row>
      <xdr:rowOff>106680</xdr:rowOff>
    </xdr:from>
    <xdr:to>
      <xdr:col>14</xdr:col>
      <xdr:colOff>86580</xdr:colOff>
      <xdr:row>7</xdr:row>
      <xdr:rowOff>175260</xdr:rowOff>
    </xdr:to>
    <xdr:sp macro="" textlink="">
      <xdr:nvSpPr>
        <xdr:cNvPr id="5" name="Rectangle: Rounded Corners 4">
          <a:extLst>
            <a:ext uri="{FF2B5EF4-FFF2-40B4-BE49-F238E27FC236}">
              <a16:creationId xmlns:a16="http://schemas.microsoft.com/office/drawing/2014/main" id="{E8D71155-DF7F-4680-83B2-2B3B6438EB0C}"/>
            </a:ext>
          </a:extLst>
        </xdr:cNvPr>
        <xdr:cNvSpPr/>
      </xdr:nvSpPr>
      <xdr:spPr>
        <a:xfrm>
          <a:off x="6316980" y="289560"/>
          <a:ext cx="2304000" cy="116586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350520</xdr:colOff>
      <xdr:row>1</xdr:row>
      <xdr:rowOff>99060</xdr:rowOff>
    </xdr:from>
    <xdr:to>
      <xdr:col>18</xdr:col>
      <xdr:colOff>216120</xdr:colOff>
      <xdr:row>7</xdr:row>
      <xdr:rowOff>167640</xdr:rowOff>
    </xdr:to>
    <xdr:sp macro="" textlink="">
      <xdr:nvSpPr>
        <xdr:cNvPr id="6" name="Rectangle: Rounded Corners 5">
          <a:extLst>
            <a:ext uri="{FF2B5EF4-FFF2-40B4-BE49-F238E27FC236}">
              <a16:creationId xmlns:a16="http://schemas.microsoft.com/office/drawing/2014/main" id="{C3285D0A-378F-4D5A-87AD-127C05CA8DD1}"/>
            </a:ext>
          </a:extLst>
        </xdr:cNvPr>
        <xdr:cNvSpPr/>
      </xdr:nvSpPr>
      <xdr:spPr>
        <a:xfrm>
          <a:off x="8884920" y="281940"/>
          <a:ext cx="2304000" cy="116586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457200</xdr:colOff>
      <xdr:row>1</xdr:row>
      <xdr:rowOff>99060</xdr:rowOff>
    </xdr:from>
    <xdr:to>
      <xdr:col>22</xdr:col>
      <xdr:colOff>322800</xdr:colOff>
      <xdr:row>7</xdr:row>
      <xdr:rowOff>167640</xdr:rowOff>
    </xdr:to>
    <xdr:sp macro="" textlink="">
      <xdr:nvSpPr>
        <xdr:cNvPr id="7" name="Rectangle: Rounded Corners 6">
          <a:extLst>
            <a:ext uri="{FF2B5EF4-FFF2-40B4-BE49-F238E27FC236}">
              <a16:creationId xmlns:a16="http://schemas.microsoft.com/office/drawing/2014/main" id="{2F8C659D-367F-4915-9F4B-CC839F59CD20}"/>
            </a:ext>
          </a:extLst>
        </xdr:cNvPr>
        <xdr:cNvSpPr/>
      </xdr:nvSpPr>
      <xdr:spPr>
        <a:xfrm>
          <a:off x="11430000" y="281940"/>
          <a:ext cx="2304000" cy="116586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45720</xdr:colOff>
      <xdr:row>8</xdr:row>
      <xdr:rowOff>83820</xdr:rowOff>
    </xdr:from>
    <xdr:to>
      <xdr:col>9</xdr:col>
      <xdr:colOff>348120</xdr:colOff>
      <xdr:row>25</xdr:row>
      <xdr:rowOff>142860</xdr:rowOff>
    </xdr:to>
    <xdr:sp macro="" textlink="">
      <xdr:nvSpPr>
        <xdr:cNvPr id="9" name="Rectangle: Rounded Corners 8">
          <a:extLst>
            <a:ext uri="{FF2B5EF4-FFF2-40B4-BE49-F238E27FC236}">
              <a16:creationId xmlns:a16="http://schemas.microsoft.com/office/drawing/2014/main" id="{E104A5A6-4409-4124-90C9-052D5BA94105}"/>
            </a:ext>
          </a:extLst>
        </xdr:cNvPr>
        <xdr:cNvSpPr/>
      </xdr:nvSpPr>
      <xdr:spPr>
        <a:xfrm>
          <a:off x="1874520" y="1546860"/>
          <a:ext cx="3960000" cy="3168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45720</xdr:colOff>
      <xdr:row>26</xdr:row>
      <xdr:rowOff>68580</xdr:rowOff>
    </xdr:from>
    <xdr:to>
      <xdr:col>9</xdr:col>
      <xdr:colOff>348120</xdr:colOff>
      <xdr:row>38</xdr:row>
      <xdr:rowOff>142020</xdr:rowOff>
    </xdr:to>
    <xdr:sp macro="" textlink="">
      <xdr:nvSpPr>
        <xdr:cNvPr id="10" name="Rectangle: Rounded Corners 9">
          <a:extLst>
            <a:ext uri="{FF2B5EF4-FFF2-40B4-BE49-F238E27FC236}">
              <a16:creationId xmlns:a16="http://schemas.microsoft.com/office/drawing/2014/main" id="{B302CC31-6956-447E-8A80-2D7EC2D705F5}"/>
            </a:ext>
          </a:extLst>
        </xdr:cNvPr>
        <xdr:cNvSpPr/>
      </xdr:nvSpPr>
      <xdr:spPr>
        <a:xfrm>
          <a:off x="1874520" y="4823460"/>
          <a:ext cx="3960000" cy="2268000"/>
        </a:xfrm>
        <a:prstGeom prst="roundRect">
          <a:avLst>
            <a:gd name="adj" fmla="val 8502"/>
          </a:avLst>
        </a:prstGeom>
        <a:solidFill>
          <a:schemeClr val="bg1">
            <a:lumMod val="85000"/>
          </a:schemeClr>
        </a:solidFill>
        <a:ln w="9525">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472440</xdr:colOff>
      <xdr:row>8</xdr:row>
      <xdr:rowOff>91440</xdr:rowOff>
    </xdr:from>
    <xdr:to>
      <xdr:col>16</xdr:col>
      <xdr:colOff>345240</xdr:colOff>
      <xdr:row>39</xdr:row>
      <xdr:rowOff>2160</xdr:rowOff>
    </xdr:to>
    <xdr:sp macro="" textlink="">
      <xdr:nvSpPr>
        <xdr:cNvPr id="11" name="Rectangle: Rounded Corners 10">
          <a:extLst>
            <a:ext uri="{FF2B5EF4-FFF2-40B4-BE49-F238E27FC236}">
              <a16:creationId xmlns:a16="http://schemas.microsoft.com/office/drawing/2014/main" id="{1F5AD7A7-51B9-449C-90EE-8D06B23766B6}"/>
            </a:ext>
          </a:extLst>
        </xdr:cNvPr>
        <xdr:cNvSpPr/>
      </xdr:nvSpPr>
      <xdr:spPr>
        <a:xfrm>
          <a:off x="5958840" y="1554480"/>
          <a:ext cx="4140000" cy="5580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335280</xdr:colOff>
      <xdr:row>1</xdr:row>
      <xdr:rowOff>76200</xdr:rowOff>
    </xdr:from>
    <xdr:to>
      <xdr:col>5</xdr:col>
      <xdr:colOff>480060</xdr:colOff>
      <xdr:row>4</xdr:row>
      <xdr:rowOff>53340</xdr:rowOff>
    </xdr:to>
    <xdr:sp macro="" textlink="">
      <xdr:nvSpPr>
        <xdr:cNvPr id="12" name="Rectangle: Rounded Corners 11">
          <a:extLst>
            <a:ext uri="{FF2B5EF4-FFF2-40B4-BE49-F238E27FC236}">
              <a16:creationId xmlns:a16="http://schemas.microsoft.com/office/drawing/2014/main" id="{110EBB87-4814-4716-AAC3-B81595E46093}"/>
            </a:ext>
          </a:extLst>
        </xdr:cNvPr>
        <xdr:cNvSpPr/>
      </xdr:nvSpPr>
      <xdr:spPr>
        <a:xfrm>
          <a:off x="944880" y="259080"/>
          <a:ext cx="2583180" cy="525780"/>
        </a:xfrm>
        <a:prstGeom prst="roundRect">
          <a:avLst>
            <a:gd name="adj" fmla="val 50000"/>
          </a:avLst>
        </a:prstGeom>
        <a:solidFill>
          <a:schemeClr val="accent1">
            <a:lumMod val="20000"/>
            <a:lumOff val="80000"/>
          </a:schemeClr>
        </a:solidFill>
        <a:ln w="12700">
          <a:solidFill>
            <a:srgbClr val="1E0CC6"/>
          </a:solidFill>
          <a:prstDash val="sysDash"/>
        </a:ln>
        <a:effectLst>
          <a:glow rad="1016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7620</xdr:colOff>
      <xdr:row>4</xdr:row>
      <xdr:rowOff>121920</xdr:rowOff>
    </xdr:from>
    <xdr:to>
      <xdr:col>5</xdr:col>
      <xdr:colOff>502920</xdr:colOff>
      <xdr:row>8</xdr:row>
      <xdr:rowOff>144780</xdr:rowOff>
    </xdr:to>
    <xdr:sp macro="" textlink="">
      <xdr:nvSpPr>
        <xdr:cNvPr id="13" name="Rectangle: Rounded Corners 12">
          <a:extLst>
            <a:ext uri="{FF2B5EF4-FFF2-40B4-BE49-F238E27FC236}">
              <a16:creationId xmlns:a16="http://schemas.microsoft.com/office/drawing/2014/main" id="{C5883159-2F88-47D8-8E01-8BEC645F4E13}"/>
            </a:ext>
          </a:extLst>
        </xdr:cNvPr>
        <xdr:cNvSpPr/>
      </xdr:nvSpPr>
      <xdr:spPr>
        <a:xfrm>
          <a:off x="1836420" y="853440"/>
          <a:ext cx="1714500" cy="754380"/>
        </a:xfrm>
        <a:prstGeom prst="roundRect">
          <a:avLst>
            <a:gd name="adj" fmla="val 18996"/>
          </a:avLst>
        </a:prstGeom>
        <a:noFill/>
        <a:ln w="12700">
          <a:noFill/>
          <a:prstDash val="sysDash"/>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Performance</a:t>
          </a:r>
          <a:r>
            <a:rPr lang="en-US" sz="1800" b="1" baseline="0">
              <a:solidFill>
                <a:schemeClr val="tx1"/>
              </a:solidFill>
            </a:rPr>
            <a:t> &amp;</a:t>
          </a:r>
        </a:p>
        <a:p>
          <a:pPr algn="ctr"/>
          <a:r>
            <a:rPr lang="en-US" sz="1800" b="1" baseline="0">
              <a:solidFill>
                <a:schemeClr val="tx1"/>
              </a:solidFill>
            </a:rPr>
            <a:t>Compensation</a:t>
          </a:r>
          <a:endParaRPr lang="en-US" sz="1800" b="1">
            <a:solidFill>
              <a:schemeClr val="tx1"/>
            </a:solidFill>
          </a:endParaRPr>
        </a:p>
      </xdr:txBody>
    </xdr:sp>
    <xdr:clientData/>
  </xdr:twoCellAnchor>
  <xdr:twoCellAnchor>
    <xdr:from>
      <xdr:col>16</xdr:col>
      <xdr:colOff>464820</xdr:colOff>
      <xdr:row>8</xdr:row>
      <xdr:rowOff>83820</xdr:rowOff>
    </xdr:from>
    <xdr:to>
      <xdr:col>23</xdr:col>
      <xdr:colOff>157620</xdr:colOff>
      <xdr:row>25</xdr:row>
      <xdr:rowOff>142860</xdr:rowOff>
    </xdr:to>
    <xdr:sp macro="" textlink="">
      <xdr:nvSpPr>
        <xdr:cNvPr id="14" name="Rectangle: Rounded Corners 13">
          <a:extLst>
            <a:ext uri="{FF2B5EF4-FFF2-40B4-BE49-F238E27FC236}">
              <a16:creationId xmlns:a16="http://schemas.microsoft.com/office/drawing/2014/main" id="{F76E2C34-0E1B-4ACA-97DC-848BA70FAC01}"/>
            </a:ext>
          </a:extLst>
        </xdr:cNvPr>
        <xdr:cNvSpPr/>
      </xdr:nvSpPr>
      <xdr:spPr>
        <a:xfrm>
          <a:off x="10218420" y="1546860"/>
          <a:ext cx="3960000" cy="3168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464820</xdr:colOff>
      <xdr:row>26</xdr:row>
      <xdr:rowOff>60960</xdr:rowOff>
    </xdr:from>
    <xdr:to>
      <xdr:col>23</xdr:col>
      <xdr:colOff>157620</xdr:colOff>
      <xdr:row>38</xdr:row>
      <xdr:rowOff>134400</xdr:rowOff>
    </xdr:to>
    <xdr:sp macro="" textlink="">
      <xdr:nvSpPr>
        <xdr:cNvPr id="15" name="Rectangle: Rounded Corners 14">
          <a:extLst>
            <a:ext uri="{FF2B5EF4-FFF2-40B4-BE49-F238E27FC236}">
              <a16:creationId xmlns:a16="http://schemas.microsoft.com/office/drawing/2014/main" id="{7B10649A-4308-4F2D-ABC3-E97D1F2BB259}"/>
            </a:ext>
          </a:extLst>
        </xdr:cNvPr>
        <xdr:cNvSpPr/>
      </xdr:nvSpPr>
      <xdr:spPr>
        <a:xfrm>
          <a:off x="10218420" y="4815840"/>
          <a:ext cx="3960000" cy="2268000"/>
        </a:xfrm>
        <a:prstGeom prst="roundRect">
          <a:avLst>
            <a:gd name="adj" fmla="val 8502"/>
          </a:avLst>
        </a:prstGeom>
        <a:solidFill>
          <a:schemeClr val="bg1">
            <a:lumMod val="85000"/>
          </a:schemeClr>
        </a:solidFill>
        <a:ln w="12700">
          <a:solidFill>
            <a:srgbClr val="1E0CC6"/>
          </a:solidFill>
          <a:prstDash val="soli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243840</xdr:colOff>
      <xdr:row>36</xdr:row>
      <xdr:rowOff>76200</xdr:rowOff>
    </xdr:from>
    <xdr:to>
      <xdr:col>3</xdr:col>
      <xdr:colOff>104640</xdr:colOff>
      <xdr:row>38</xdr:row>
      <xdr:rowOff>142440</xdr:rowOff>
    </xdr:to>
    <xdr:sp macro="[0]!GoToDashboard1" textlink="">
      <xdr:nvSpPr>
        <xdr:cNvPr id="16" name="Rectangle: Rounded Corners 15">
          <a:extLst>
            <a:ext uri="{FF2B5EF4-FFF2-40B4-BE49-F238E27FC236}">
              <a16:creationId xmlns:a16="http://schemas.microsoft.com/office/drawing/2014/main" id="{8A810864-BC1E-4D8F-A777-F8F7D878B0F1}"/>
            </a:ext>
          </a:extLst>
        </xdr:cNvPr>
        <xdr:cNvSpPr/>
      </xdr:nvSpPr>
      <xdr:spPr>
        <a:xfrm>
          <a:off x="853440" y="6659880"/>
          <a:ext cx="1080000" cy="432000"/>
        </a:xfrm>
        <a:prstGeom prst="roundRect">
          <a:avLst>
            <a:gd name="adj" fmla="val 18996"/>
          </a:avLst>
        </a:prstGeom>
        <a:noFill/>
        <a:ln w="12700">
          <a:noFill/>
          <a:prstDash val="sysDash"/>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1E0CC6"/>
              </a:solidFill>
            </a:rPr>
            <a:t>Back</a:t>
          </a:r>
        </a:p>
      </xdr:txBody>
    </xdr:sp>
    <xdr:clientData/>
  </xdr:twoCellAnchor>
  <xdr:twoCellAnchor>
    <xdr:from>
      <xdr:col>1</xdr:col>
      <xdr:colOff>396240</xdr:colOff>
      <xdr:row>1</xdr:row>
      <xdr:rowOff>121920</xdr:rowOff>
    </xdr:from>
    <xdr:to>
      <xdr:col>5</xdr:col>
      <xdr:colOff>405840</xdr:colOff>
      <xdr:row>4</xdr:row>
      <xdr:rowOff>5280</xdr:rowOff>
    </xdr:to>
    <xdr:sp macro="" textlink="">
      <xdr:nvSpPr>
        <xdr:cNvPr id="17" name="Rectangle: Rounded Corners 16">
          <a:extLst>
            <a:ext uri="{FF2B5EF4-FFF2-40B4-BE49-F238E27FC236}">
              <a16:creationId xmlns:a16="http://schemas.microsoft.com/office/drawing/2014/main" id="{9E80452C-CE93-461D-87DD-8BE4D649697E}"/>
            </a:ext>
          </a:extLst>
        </xdr:cNvPr>
        <xdr:cNvSpPr/>
      </xdr:nvSpPr>
      <xdr:spPr>
        <a:xfrm>
          <a:off x="1005840" y="304800"/>
          <a:ext cx="2448000" cy="432000"/>
        </a:xfrm>
        <a:prstGeom prst="roundRect">
          <a:avLst>
            <a:gd name="adj" fmla="val 50000"/>
          </a:avLst>
        </a:prstGeom>
        <a:solidFill>
          <a:schemeClr val="accent1">
            <a:lumMod val="20000"/>
            <a:lumOff val="80000"/>
          </a:schemeClr>
        </a:solidFill>
        <a:ln w="12700">
          <a:solidFill>
            <a:srgbClr val="1E0CC6"/>
          </a:solidFill>
          <a:prstDash val="sysDash"/>
        </a:ln>
        <a:effectLst>
          <a:glow rad="1016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1E0CC6"/>
              </a:solidFill>
            </a:rPr>
            <a:t>Vantex</a:t>
          </a:r>
          <a:r>
            <a:rPr lang="en-US" sz="2400" b="1" baseline="0">
              <a:solidFill>
                <a:sysClr val="windowText" lastClr="000000"/>
              </a:solidFill>
            </a:rPr>
            <a:t>         </a:t>
          </a:r>
          <a:r>
            <a:rPr lang="en-US" sz="2400" b="1" baseline="0">
              <a:solidFill>
                <a:srgbClr val="1E0CC6"/>
              </a:solidFill>
            </a:rPr>
            <a:t>HR</a:t>
          </a:r>
          <a:endParaRPr lang="en-US" sz="2400" b="1">
            <a:solidFill>
              <a:srgbClr val="1E0CC6"/>
            </a:solidFill>
          </a:endParaRPr>
        </a:p>
      </xdr:txBody>
    </xdr:sp>
    <xdr:clientData/>
  </xdr:twoCellAnchor>
  <xdr:twoCellAnchor>
    <xdr:from>
      <xdr:col>3</xdr:col>
      <xdr:colOff>396240</xdr:colOff>
      <xdr:row>3</xdr:row>
      <xdr:rowOff>0</xdr:rowOff>
    </xdr:from>
    <xdr:to>
      <xdr:col>4</xdr:col>
      <xdr:colOff>326640</xdr:colOff>
      <xdr:row>3</xdr:row>
      <xdr:rowOff>0</xdr:rowOff>
    </xdr:to>
    <xdr:cxnSp macro="">
      <xdr:nvCxnSpPr>
        <xdr:cNvPr id="18" name="Straight Arrow Connector 17">
          <a:extLst>
            <a:ext uri="{FF2B5EF4-FFF2-40B4-BE49-F238E27FC236}">
              <a16:creationId xmlns:a16="http://schemas.microsoft.com/office/drawing/2014/main" id="{E7B8A9F1-37A1-4FBB-AA38-B25B70788FAB}"/>
            </a:ext>
          </a:extLst>
        </xdr:cNvPr>
        <xdr:cNvCxnSpPr/>
      </xdr:nvCxnSpPr>
      <xdr:spPr>
        <a:xfrm>
          <a:off x="2225040" y="548640"/>
          <a:ext cx="540000" cy="0"/>
        </a:xfrm>
        <a:prstGeom prst="straightConnector1">
          <a:avLst/>
        </a:prstGeom>
        <a:ln w="19050">
          <a:solidFill>
            <a:srgbClr val="FF0000"/>
          </a:solidFill>
          <a:tailEnd type="triangle"/>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83820</xdr:colOff>
      <xdr:row>1</xdr:row>
      <xdr:rowOff>152400</xdr:rowOff>
    </xdr:from>
    <xdr:to>
      <xdr:col>9</xdr:col>
      <xdr:colOff>415020</xdr:colOff>
      <xdr:row>7</xdr:row>
      <xdr:rowOff>135120</xdr:rowOff>
    </xdr:to>
    <xdr:sp macro="" textlink="">
      <xdr:nvSpPr>
        <xdr:cNvPr id="19" name="Rectangle: Rounded Corners 18">
          <a:extLst>
            <a:ext uri="{FF2B5EF4-FFF2-40B4-BE49-F238E27FC236}">
              <a16:creationId xmlns:a16="http://schemas.microsoft.com/office/drawing/2014/main" id="{848B39DF-343F-4E07-A72E-F164E0A5B13C}"/>
            </a:ext>
          </a:extLst>
        </xdr:cNvPr>
        <xdr:cNvSpPr/>
      </xdr:nvSpPr>
      <xdr:spPr>
        <a:xfrm>
          <a:off x="3741420" y="335280"/>
          <a:ext cx="2160000" cy="108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tx1"/>
              </a:solidFill>
            </a:rPr>
            <a:t>Average Salary</a:t>
          </a:r>
        </a:p>
      </xdr:txBody>
    </xdr:sp>
    <xdr:clientData/>
  </xdr:twoCellAnchor>
  <xdr:twoCellAnchor>
    <xdr:from>
      <xdr:col>10</xdr:col>
      <xdr:colOff>220980</xdr:colOff>
      <xdr:row>1</xdr:row>
      <xdr:rowOff>152400</xdr:rowOff>
    </xdr:from>
    <xdr:to>
      <xdr:col>13</xdr:col>
      <xdr:colOff>552180</xdr:colOff>
      <xdr:row>7</xdr:row>
      <xdr:rowOff>135120</xdr:rowOff>
    </xdr:to>
    <xdr:sp macro="" textlink="">
      <xdr:nvSpPr>
        <xdr:cNvPr id="20" name="Rectangle: Rounded Corners 19">
          <a:extLst>
            <a:ext uri="{FF2B5EF4-FFF2-40B4-BE49-F238E27FC236}">
              <a16:creationId xmlns:a16="http://schemas.microsoft.com/office/drawing/2014/main" id="{1B5A0991-B615-451C-91EA-1D9B8F9CF09B}"/>
            </a:ext>
          </a:extLst>
        </xdr:cNvPr>
        <xdr:cNvSpPr/>
      </xdr:nvSpPr>
      <xdr:spPr>
        <a:xfrm>
          <a:off x="6316980" y="335280"/>
          <a:ext cx="2160000" cy="108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rPr>
            <a:t>Average Years of Service</a:t>
          </a:r>
        </a:p>
      </xdr:txBody>
    </xdr:sp>
    <xdr:clientData/>
  </xdr:twoCellAnchor>
  <xdr:twoCellAnchor>
    <xdr:from>
      <xdr:col>14</xdr:col>
      <xdr:colOff>350520</xdr:colOff>
      <xdr:row>1</xdr:row>
      <xdr:rowOff>152400</xdr:rowOff>
    </xdr:from>
    <xdr:to>
      <xdr:col>18</xdr:col>
      <xdr:colOff>72120</xdr:colOff>
      <xdr:row>7</xdr:row>
      <xdr:rowOff>135120</xdr:rowOff>
    </xdr:to>
    <xdr:sp macro="" textlink="">
      <xdr:nvSpPr>
        <xdr:cNvPr id="21" name="Rectangle: Rounded Corners 20">
          <a:extLst>
            <a:ext uri="{FF2B5EF4-FFF2-40B4-BE49-F238E27FC236}">
              <a16:creationId xmlns:a16="http://schemas.microsoft.com/office/drawing/2014/main" id="{7E3F60BD-EA29-415E-8365-CFFCC6030E6A}"/>
            </a:ext>
          </a:extLst>
        </xdr:cNvPr>
        <xdr:cNvSpPr/>
      </xdr:nvSpPr>
      <xdr:spPr>
        <a:xfrm>
          <a:off x="8884920" y="335280"/>
          <a:ext cx="2160000" cy="108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rPr>
            <a:t>% Excellent</a:t>
          </a:r>
          <a:r>
            <a:rPr lang="en-US" sz="1600" b="1" baseline="0">
              <a:solidFill>
                <a:schemeClr val="tx1"/>
              </a:solidFill>
            </a:rPr>
            <a:t> Performers</a:t>
          </a:r>
          <a:endParaRPr lang="en-US" sz="1600" b="1">
            <a:solidFill>
              <a:schemeClr val="tx1"/>
            </a:solidFill>
          </a:endParaRPr>
        </a:p>
      </xdr:txBody>
    </xdr:sp>
    <xdr:clientData/>
  </xdr:twoCellAnchor>
  <xdr:twoCellAnchor>
    <xdr:from>
      <xdr:col>18</xdr:col>
      <xdr:colOff>457200</xdr:colOff>
      <xdr:row>1</xdr:row>
      <xdr:rowOff>152400</xdr:rowOff>
    </xdr:from>
    <xdr:to>
      <xdr:col>22</xdr:col>
      <xdr:colOff>178800</xdr:colOff>
      <xdr:row>7</xdr:row>
      <xdr:rowOff>135120</xdr:rowOff>
    </xdr:to>
    <xdr:sp macro="" textlink="">
      <xdr:nvSpPr>
        <xdr:cNvPr id="22" name="Rectangle: Rounded Corners 21">
          <a:extLst>
            <a:ext uri="{FF2B5EF4-FFF2-40B4-BE49-F238E27FC236}">
              <a16:creationId xmlns:a16="http://schemas.microsoft.com/office/drawing/2014/main" id="{7FACFB03-A1E3-4FB1-A7D6-C55AAA25C187}"/>
            </a:ext>
          </a:extLst>
        </xdr:cNvPr>
        <xdr:cNvSpPr/>
      </xdr:nvSpPr>
      <xdr:spPr>
        <a:xfrm>
          <a:off x="11430000" y="335280"/>
          <a:ext cx="2160000" cy="1080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tx1"/>
              </a:solidFill>
            </a:rPr>
            <a:t>% Poor Performers</a:t>
          </a:r>
        </a:p>
      </xdr:txBody>
    </xdr:sp>
    <xdr:clientData/>
  </xdr:twoCellAnchor>
  <xdr:twoCellAnchor>
    <xdr:from>
      <xdr:col>0</xdr:col>
      <xdr:colOff>228600</xdr:colOff>
      <xdr:row>5</xdr:row>
      <xdr:rowOff>30480</xdr:rowOff>
    </xdr:from>
    <xdr:to>
      <xdr:col>2</xdr:col>
      <xdr:colOff>485400</xdr:colOff>
      <xdr:row>35</xdr:row>
      <xdr:rowOff>160080</xdr:rowOff>
    </xdr:to>
    <xdr:sp macro="" textlink="">
      <xdr:nvSpPr>
        <xdr:cNvPr id="24" name="Rectangle: Rounded Corners 23">
          <a:extLst>
            <a:ext uri="{FF2B5EF4-FFF2-40B4-BE49-F238E27FC236}">
              <a16:creationId xmlns:a16="http://schemas.microsoft.com/office/drawing/2014/main" id="{50D1B5E4-81F7-4736-B67F-D68518EEB167}"/>
            </a:ext>
          </a:extLst>
        </xdr:cNvPr>
        <xdr:cNvSpPr/>
      </xdr:nvSpPr>
      <xdr:spPr>
        <a:xfrm>
          <a:off x="228600" y="944880"/>
          <a:ext cx="1476000" cy="5616000"/>
        </a:xfrm>
        <a:prstGeom prst="roundRect">
          <a:avLst>
            <a:gd name="adj" fmla="val 18996"/>
          </a:avLst>
        </a:prstGeom>
        <a:solidFill>
          <a:schemeClr val="tx2">
            <a:lumMod val="20000"/>
            <a:lumOff val="80000"/>
          </a:schemeClr>
        </a:solidFill>
        <a:ln w="19050">
          <a:solidFill>
            <a:srgbClr val="1E0CC6"/>
          </a:solidFill>
          <a:prstDash val="solid"/>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342900</xdr:colOff>
      <xdr:row>26</xdr:row>
      <xdr:rowOff>7621</xdr:rowOff>
    </xdr:from>
    <xdr:to>
      <xdr:col>23</xdr:col>
      <xdr:colOff>228600</xdr:colOff>
      <xdr:row>39</xdr:row>
      <xdr:rowOff>22861</xdr:rowOff>
    </xdr:to>
    <xdr:graphicFrame macro="">
      <xdr:nvGraphicFramePr>
        <xdr:cNvPr id="25" name="Chart 24">
          <a:extLst>
            <a:ext uri="{FF2B5EF4-FFF2-40B4-BE49-F238E27FC236}">
              <a16:creationId xmlns:a16="http://schemas.microsoft.com/office/drawing/2014/main" id="{353D8F41-A4EA-4C45-9E93-55D2BDFF9A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571500</xdr:colOff>
      <xdr:row>26</xdr:row>
      <xdr:rowOff>13062</xdr:rowOff>
    </xdr:from>
    <xdr:to>
      <xdr:col>9</xdr:col>
      <xdr:colOff>449580</xdr:colOff>
      <xdr:row>39</xdr:row>
      <xdr:rowOff>22860</xdr:rowOff>
    </xdr:to>
    <xdr:graphicFrame macro="">
      <xdr:nvGraphicFramePr>
        <xdr:cNvPr id="26" name="Chart 25">
          <a:extLst>
            <a:ext uri="{FF2B5EF4-FFF2-40B4-BE49-F238E27FC236}">
              <a16:creationId xmlns:a16="http://schemas.microsoft.com/office/drawing/2014/main" id="{9CE69948-760E-4A95-B84B-138E61324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434340</xdr:colOff>
      <xdr:row>8</xdr:row>
      <xdr:rowOff>45720</xdr:rowOff>
    </xdr:from>
    <xdr:to>
      <xdr:col>23</xdr:col>
      <xdr:colOff>38100</xdr:colOff>
      <xdr:row>25</xdr:row>
      <xdr:rowOff>175260</xdr:rowOff>
    </xdr:to>
    <xdr:graphicFrame macro="">
      <xdr:nvGraphicFramePr>
        <xdr:cNvPr id="27" name="Chart 26">
          <a:extLst>
            <a:ext uri="{FF2B5EF4-FFF2-40B4-BE49-F238E27FC236}">
              <a16:creationId xmlns:a16="http://schemas.microsoft.com/office/drawing/2014/main" id="{C1ABBB93-AD0B-4653-AC50-D9C20AC646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464820</xdr:colOff>
      <xdr:row>8</xdr:row>
      <xdr:rowOff>36467</xdr:rowOff>
    </xdr:from>
    <xdr:to>
      <xdr:col>16</xdr:col>
      <xdr:colOff>327660</xdr:colOff>
      <xdr:row>22</xdr:row>
      <xdr:rowOff>106680</xdr:rowOff>
    </xdr:to>
    <xdr:graphicFrame macro="">
      <xdr:nvGraphicFramePr>
        <xdr:cNvPr id="28" name="Chart 27">
          <a:extLst>
            <a:ext uri="{FF2B5EF4-FFF2-40B4-BE49-F238E27FC236}">
              <a16:creationId xmlns:a16="http://schemas.microsoft.com/office/drawing/2014/main" id="{8A9321F0-34D7-4BBB-8F85-A10A2D92C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8</xdr:row>
      <xdr:rowOff>106680</xdr:rowOff>
    </xdr:from>
    <xdr:to>
      <xdr:col>9</xdr:col>
      <xdr:colOff>426720</xdr:colOff>
      <xdr:row>25</xdr:row>
      <xdr:rowOff>121919</xdr:rowOff>
    </xdr:to>
    <xdr:graphicFrame macro="">
      <xdr:nvGraphicFramePr>
        <xdr:cNvPr id="29" name="Chart 28">
          <a:extLst>
            <a:ext uri="{FF2B5EF4-FFF2-40B4-BE49-F238E27FC236}">
              <a16:creationId xmlns:a16="http://schemas.microsoft.com/office/drawing/2014/main" id="{95FFF24B-FDCF-4F74-A1CF-E460FDF7F6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45720</xdr:colOff>
      <xdr:row>21</xdr:row>
      <xdr:rowOff>15240</xdr:rowOff>
    </xdr:from>
    <xdr:to>
      <xdr:col>15</xdr:col>
      <xdr:colOff>127320</xdr:colOff>
      <xdr:row>23</xdr:row>
      <xdr:rowOff>45480</xdr:rowOff>
    </xdr:to>
    <xdr:sp macro="" textlink="">
      <xdr:nvSpPr>
        <xdr:cNvPr id="30" name="Rectangle: Rounded Corners 29">
          <a:extLst>
            <a:ext uri="{FF2B5EF4-FFF2-40B4-BE49-F238E27FC236}">
              <a16:creationId xmlns:a16="http://schemas.microsoft.com/office/drawing/2014/main" id="{932BB6F4-4DC2-4B61-9CF1-6DAEB6EA0CE3}"/>
            </a:ext>
          </a:extLst>
        </xdr:cNvPr>
        <xdr:cNvSpPr/>
      </xdr:nvSpPr>
      <xdr:spPr>
        <a:xfrm>
          <a:off x="6751320" y="3855720"/>
          <a:ext cx="2520000" cy="396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solidFill>
              <a:schemeClr val="tx1"/>
            </a:solidFill>
          </a:endParaRPr>
        </a:p>
      </xdr:txBody>
    </xdr:sp>
    <xdr:clientData/>
  </xdr:twoCellAnchor>
  <xdr:twoCellAnchor>
    <xdr:from>
      <xdr:col>11</xdr:col>
      <xdr:colOff>99060</xdr:colOff>
      <xdr:row>21</xdr:row>
      <xdr:rowOff>53340</xdr:rowOff>
    </xdr:from>
    <xdr:to>
      <xdr:col>15</xdr:col>
      <xdr:colOff>72660</xdr:colOff>
      <xdr:row>23</xdr:row>
      <xdr:rowOff>11580</xdr:rowOff>
    </xdr:to>
    <xdr:sp macro="" textlink="">
      <xdr:nvSpPr>
        <xdr:cNvPr id="31" name="Rectangle: Rounded Corners 30">
          <a:extLst>
            <a:ext uri="{FF2B5EF4-FFF2-40B4-BE49-F238E27FC236}">
              <a16:creationId xmlns:a16="http://schemas.microsoft.com/office/drawing/2014/main" id="{58250837-C88C-4E46-AE02-5AF6EB5EA4F5}"/>
            </a:ext>
          </a:extLst>
        </xdr:cNvPr>
        <xdr:cNvSpPr/>
      </xdr:nvSpPr>
      <xdr:spPr>
        <a:xfrm>
          <a:off x="6804660" y="3893820"/>
          <a:ext cx="2412000" cy="324000"/>
        </a:xfrm>
        <a:prstGeom prst="roundRect">
          <a:avLst>
            <a:gd name="adj" fmla="val 18996"/>
          </a:avLst>
        </a:prstGeom>
        <a:solidFill>
          <a:schemeClr val="accent1">
            <a:lumMod val="20000"/>
            <a:lumOff val="80000"/>
          </a:schemeClr>
        </a:solidFill>
        <a:ln w="12700">
          <a:solidFill>
            <a:srgbClr val="1E0CC6"/>
          </a:solidFill>
          <a:prstDash val="sysDash"/>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solidFill>
            </a:rPr>
            <a:t>Insights</a:t>
          </a:r>
        </a:p>
      </xdr:txBody>
    </xdr:sp>
    <xdr:clientData/>
  </xdr:twoCellAnchor>
  <xdr:twoCellAnchor>
    <xdr:from>
      <xdr:col>6</xdr:col>
      <xdr:colOff>144780</xdr:colOff>
      <xdr:row>4</xdr:row>
      <xdr:rowOff>160020</xdr:rowOff>
    </xdr:from>
    <xdr:to>
      <xdr:col>9</xdr:col>
      <xdr:colOff>367980</xdr:colOff>
      <xdr:row>7</xdr:row>
      <xdr:rowOff>115380</xdr:rowOff>
    </xdr:to>
    <xdr:sp macro="" textlink="'Pivot Table 2'!J2">
      <xdr:nvSpPr>
        <xdr:cNvPr id="32" name="Rectangle: Rounded Corners 31">
          <a:extLst>
            <a:ext uri="{FF2B5EF4-FFF2-40B4-BE49-F238E27FC236}">
              <a16:creationId xmlns:a16="http://schemas.microsoft.com/office/drawing/2014/main" id="{3AFC7799-1A77-1B55-EEA2-ACDB1E466DAB}"/>
            </a:ext>
          </a:extLst>
        </xdr:cNvPr>
        <xdr:cNvSpPr/>
      </xdr:nvSpPr>
      <xdr:spPr>
        <a:xfrm>
          <a:off x="3802380" y="891540"/>
          <a:ext cx="2052000" cy="504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D6F55D6-90DD-4486-9EBE-C62C25B3FF54}" type="TxLink">
            <a:rPr lang="en-US" sz="2000" b="1" i="0" u="none" strike="noStrike">
              <a:solidFill>
                <a:srgbClr val="1F1BC3"/>
              </a:solidFill>
              <a:latin typeface="Calibri"/>
              <a:cs typeface="Calibri"/>
            </a:rPr>
            <a:pPr algn="ctr"/>
            <a:t>₦582K</a:t>
          </a:fld>
          <a:endParaRPr lang="en-US" sz="2000" b="1">
            <a:solidFill>
              <a:srgbClr val="1F1BC3"/>
            </a:solidFill>
          </a:endParaRPr>
        </a:p>
      </xdr:txBody>
    </xdr:sp>
    <xdr:clientData/>
  </xdr:twoCellAnchor>
  <xdr:twoCellAnchor>
    <xdr:from>
      <xdr:col>10</xdr:col>
      <xdr:colOff>274320</xdr:colOff>
      <xdr:row>4</xdr:row>
      <xdr:rowOff>160020</xdr:rowOff>
    </xdr:from>
    <xdr:to>
      <xdr:col>13</xdr:col>
      <xdr:colOff>497520</xdr:colOff>
      <xdr:row>7</xdr:row>
      <xdr:rowOff>115380</xdr:rowOff>
    </xdr:to>
    <xdr:sp macro="" textlink="'Pivot Table 2'!J3">
      <xdr:nvSpPr>
        <xdr:cNvPr id="33" name="Rectangle: Rounded Corners 32">
          <a:extLst>
            <a:ext uri="{FF2B5EF4-FFF2-40B4-BE49-F238E27FC236}">
              <a16:creationId xmlns:a16="http://schemas.microsoft.com/office/drawing/2014/main" id="{D1E52BB8-9320-4672-9151-1283FE0196CC}"/>
            </a:ext>
          </a:extLst>
        </xdr:cNvPr>
        <xdr:cNvSpPr/>
      </xdr:nvSpPr>
      <xdr:spPr>
        <a:xfrm>
          <a:off x="6370320" y="891540"/>
          <a:ext cx="2052000" cy="504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2E69EF-5C23-4779-AB40-3A7576753576}" type="TxLink">
            <a:rPr lang="en-US" sz="2000" b="1" i="0" u="none" strike="noStrike">
              <a:solidFill>
                <a:srgbClr val="1F1BC3"/>
              </a:solidFill>
              <a:latin typeface="Calibri"/>
              <a:cs typeface="Calibri"/>
            </a:rPr>
            <a:pPr algn="ctr"/>
            <a:t>7.2</a:t>
          </a:fld>
          <a:endParaRPr lang="en-US" sz="2000" b="1">
            <a:solidFill>
              <a:srgbClr val="1F1BC3"/>
            </a:solidFill>
          </a:endParaRPr>
        </a:p>
      </xdr:txBody>
    </xdr:sp>
    <xdr:clientData/>
  </xdr:twoCellAnchor>
  <xdr:twoCellAnchor>
    <xdr:from>
      <xdr:col>14</xdr:col>
      <xdr:colOff>411480</xdr:colOff>
      <xdr:row>4</xdr:row>
      <xdr:rowOff>160020</xdr:rowOff>
    </xdr:from>
    <xdr:to>
      <xdr:col>18</xdr:col>
      <xdr:colOff>25080</xdr:colOff>
      <xdr:row>7</xdr:row>
      <xdr:rowOff>115380</xdr:rowOff>
    </xdr:to>
    <xdr:sp macro="" textlink="'Pivot Table 2'!J4">
      <xdr:nvSpPr>
        <xdr:cNvPr id="34" name="Rectangle: Rounded Corners 33">
          <a:extLst>
            <a:ext uri="{FF2B5EF4-FFF2-40B4-BE49-F238E27FC236}">
              <a16:creationId xmlns:a16="http://schemas.microsoft.com/office/drawing/2014/main" id="{841BF1F9-6649-4905-9693-4DE4E0BDF351}"/>
            </a:ext>
          </a:extLst>
        </xdr:cNvPr>
        <xdr:cNvSpPr/>
      </xdr:nvSpPr>
      <xdr:spPr>
        <a:xfrm>
          <a:off x="8945880" y="891540"/>
          <a:ext cx="2052000" cy="504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5441825-9AA9-4CCD-82A8-8633DEC05404}" type="TxLink">
            <a:rPr lang="en-US" sz="2000" b="1" i="0" u="none" strike="noStrike">
              <a:solidFill>
                <a:srgbClr val="1F1BC3"/>
              </a:solidFill>
              <a:latin typeface="Calibri"/>
              <a:cs typeface="Calibri"/>
            </a:rPr>
            <a:pPr algn="ctr"/>
            <a:t>23.0%</a:t>
          </a:fld>
          <a:endParaRPr lang="en-US" sz="2000" b="1">
            <a:solidFill>
              <a:srgbClr val="1F1BC3"/>
            </a:solidFill>
          </a:endParaRPr>
        </a:p>
      </xdr:txBody>
    </xdr:sp>
    <xdr:clientData/>
  </xdr:twoCellAnchor>
  <xdr:twoCellAnchor>
    <xdr:from>
      <xdr:col>18</xdr:col>
      <xdr:colOff>502920</xdr:colOff>
      <xdr:row>4</xdr:row>
      <xdr:rowOff>152400</xdr:rowOff>
    </xdr:from>
    <xdr:to>
      <xdr:col>22</xdr:col>
      <xdr:colOff>116520</xdr:colOff>
      <xdr:row>7</xdr:row>
      <xdr:rowOff>107760</xdr:rowOff>
    </xdr:to>
    <xdr:sp macro="" textlink="'Pivot Table 2'!J5">
      <xdr:nvSpPr>
        <xdr:cNvPr id="35" name="Rectangle: Rounded Corners 34">
          <a:extLst>
            <a:ext uri="{FF2B5EF4-FFF2-40B4-BE49-F238E27FC236}">
              <a16:creationId xmlns:a16="http://schemas.microsoft.com/office/drawing/2014/main" id="{59580F00-585D-494F-871C-7224A2DB435D}"/>
            </a:ext>
          </a:extLst>
        </xdr:cNvPr>
        <xdr:cNvSpPr/>
      </xdr:nvSpPr>
      <xdr:spPr>
        <a:xfrm>
          <a:off x="11475720" y="883920"/>
          <a:ext cx="2052000" cy="504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D6FB5C-507A-4E19-8117-CE24C5AAF59D}" type="TxLink">
            <a:rPr lang="en-US" sz="2000" b="1" i="0" u="none" strike="noStrike">
              <a:solidFill>
                <a:srgbClr val="1F1BC3"/>
              </a:solidFill>
              <a:latin typeface="Calibri"/>
              <a:cs typeface="Calibri"/>
            </a:rPr>
            <a:pPr algn="ctr"/>
            <a:t>26.7%</a:t>
          </a:fld>
          <a:endParaRPr lang="en-US" sz="2000" b="1">
            <a:solidFill>
              <a:srgbClr val="1F1BC3"/>
            </a:solidFill>
          </a:endParaRPr>
        </a:p>
      </xdr:txBody>
    </xdr:sp>
    <xdr:clientData/>
  </xdr:twoCellAnchor>
  <xdr:twoCellAnchor editAs="oneCell">
    <xdr:from>
      <xdr:col>0</xdr:col>
      <xdr:colOff>243840</xdr:colOff>
      <xdr:row>6</xdr:row>
      <xdr:rowOff>45720</xdr:rowOff>
    </xdr:from>
    <xdr:to>
      <xdr:col>2</xdr:col>
      <xdr:colOff>464640</xdr:colOff>
      <xdr:row>19</xdr:row>
      <xdr:rowOff>135255</xdr:rowOff>
    </xdr:to>
    <mc:AlternateContent xmlns:mc="http://schemas.openxmlformats.org/markup-compatibility/2006" xmlns:a14="http://schemas.microsoft.com/office/drawing/2010/main">
      <mc:Choice Requires="a14">
        <xdr:graphicFrame macro="">
          <xdr:nvGraphicFramePr>
            <xdr:cNvPr id="36" name="Department 3">
              <a:extLst>
                <a:ext uri="{FF2B5EF4-FFF2-40B4-BE49-F238E27FC236}">
                  <a16:creationId xmlns:a16="http://schemas.microsoft.com/office/drawing/2014/main" id="{5BF8DEA8-F78A-404B-B842-2856C251299D}"/>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243840" y="1143000"/>
              <a:ext cx="1440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243840</xdr:colOff>
      <xdr:row>28</xdr:row>
      <xdr:rowOff>137161</xdr:rowOff>
    </xdr:from>
    <xdr:to>
      <xdr:col>2</xdr:col>
      <xdr:colOff>464640</xdr:colOff>
      <xdr:row>32</xdr:row>
      <xdr:rowOff>17641</xdr:rowOff>
    </xdr:to>
    <mc:AlternateContent xmlns:mc="http://schemas.openxmlformats.org/markup-compatibility/2006" xmlns:a14="http://schemas.microsoft.com/office/drawing/2010/main">
      <mc:Choice Requires="a14">
        <xdr:graphicFrame macro="">
          <xdr:nvGraphicFramePr>
            <xdr:cNvPr id="37" name="Gender 3">
              <a:extLst>
                <a:ext uri="{FF2B5EF4-FFF2-40B4-BE49-F238E27FC236}">
                  <a16:creationId xmlns:a16="http://schemas.microsoft.com/office/drawing/2014/main" id="{9A3A47AE-FEF5-435D-9E82-85C01EDB7A66}"/>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243840" y="5257801"/>
              <a:ext cx="1440000" cy="61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243840</xdr:colOff>
      <xdr:row>20</xdr:row>
      <xdr:rowOff>167640</xdr:rowOff>
    </xdr:from>
    <xdr:to>
      <xdr:col>2</xdr:col>
      <xdr:colOff>464640</xdr:colOff>
      <xdr:row>28</xdr:row>
      <xdr:rowOff>36600</xdr:rowOff>
    </xdr:to>
    <mc:AlternateContent xmlns:mc="http://schemas.openxmlformats.org/markup-compatibility/2006" xmlns:a14="http://schemas.microsoft.com/office/drawing/2010/main">
      <mc:Choice Requires="a14">
        <xdr:graphicFrame macro="">
          <xdr:nvGraphicFramePr>
            <xdr:cNvPr id="39" name="Employment_Status 3">
              <a:extLst>
                <a:ext uri="{FF2B5EF4-FFF2-40B4-BE49-F238E27FC236}">
                  <a16:creationId xmlns:a16="http://schemas.microsoft.com/office/drawing/2014/main" id="{4C1CE608-9DE5-4B06-9E66-A44C102B1DBA}"/>
                </a:ext>
              </a:extLst>
            </xdr:cNvPr>
            <xdr:cNvGraphicFramePr/>
          </xdr:nvGraphicFramePr>
          <xdr:xfrm>
            <a:off x="0" y="0"/>
            <a:ext cx="0" cy="0"/>
          </xdr:xfrm>
          <a:graphic>
            <a:graphicData uri="http://schemas.microsoft.com/office/drawing/2010/slicer">
              <sle:slicer xmlns:sle="http://schemas.microsoft.com/office/drawing/2010/slicer" name="Employment_Status 3"/>
            </a:graphicData>
          </a:graphic>
        </xdr:graphicFrame>
      </mc:Choice>
      <mc:Fallback xmlns="">
        <xdr:sp macro="" textlink="">
          <xdr:nvSpPr>
            <xdr:cNvPr id="0" name=""/>
            <xdr:cNvSpPr>
              <a:spLocks noTextEdit="1"/>
            </xdr:cNvSpPr>
          </xdr:nvSpPr>
          <xdr:spPr>
            <a:xfrm>
              <a:off x="243840" y="3825240"/>
              <a:ext cx="1440000" cy="133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297180</xdr:colOff>
      <xdr:row>5</xdr:row>
      <xdr:rowOff>129540</xdr:rowOff>
    </xdr:from>
    <xdr:to>
      <xdr:col>2</xdr:col>
      <xdr:colOff>157980</xdr:colOff>
      <xdr:row>7</xdr:row>
      <xdr:rowOff>123780</xdr:rowOff>
    </xdr:to>
    <xdr:sp macro="" textlink="">
      <xdr:nvSpPr>
        <xdr:cNvPr id="40" name="Rectangle: Rounded Corners 39">
          <a:extLst>
            <a:ext uri="{FF2B5EF4-FFF2-40B4-BE49-F238E27FC236}">
              <a16:creationId xmlns:a16="http://schemas.microsoft.com/office/drawing/2014/main" id="{EA978B5D-C83A-4654-9AD1-6B75EDE7BCFD}"/>
            </a:ext>
          </a:extLst>
        </xdr:cNvPr>
        <xdr:cNvSpPr/>
      </xdr:nvSpPr>
      <xdr:spPr>
        <a:xfrm>
          <a:off x="297180" y="1043940"/>
          <a:ext cx="1080000" cy="360000"/>
        </a:xfrm>
        <a:prstGeom prst="roundRect">
          <a:avLst>
            <a:gd name="adj" fmla="val 46653"/>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95000"/>
                  <a:lumOff val="5000"/>
                </a:schemeClr>
              </a:solidFill>
            </a:rPr>
            <a:t>Department</a:t>
          </a:r>
        </a:p>
      </xdr:txBody>
    </xdr:sp>
    <xdr:clientData/>
  </xdr:twoCellAnchor>
  <xdr:twoCellAnchor>
    <xdr:from>
      <xdr:col>0</xdr:col>
      <xdr:colOff>251460</xdr:colOff>
      <xdr:row>19</xdr:row>
      <xdr:rowOff>106680</xdr:rowOff>
    </xdr:from>
    <xdr:to>
      <xdr:col>2</xdr:col>
      <xdr:colOff>148260</xdr:colOff>
      <xdr:row>22</xdr:row>
      <xdr:rowOff>98040</xdr:rowOff>
    </xdr:to>
    <xdr:sp macro="" textlink="">
      <xdr:nvSpPr>
        <xdr:cNvPr id="41" name="Rectangle: Rounded Corners 40">
          <a:extLst>
            <a:ext uri="{FF2B5EF4-FFF2-40B4-BE49-F238E27FC236}">
              <a16:creationId xmlns:a16="http://schemas.microsoft.com/office/drawing/2014/main" id="{68FBCD15-6FD5-4D63-B5BC-A5F48E55FEF5}"/>
            </a:ext>
          </a:extLst>
        </xdr:cNvPr>
        <xdr:cNvSpPr/>
      </xdr:nvSpPr>
      <xdr:spPr>
        <a:xfrm>
          <a:off x="251460" y="3581400"/>
          <a:ext cx="1116000" cy="540000"/>
        </a:xfrm>
        <a:prstGeom prst="roundRect">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lumMod val="95000"/>
                  <a:lumOff val="5000"/>
                </a:schemeClr>
              </a:solidFill>
            </a:rPr>
            <a:t>Employment </a:t>
          </a:r>
        </a:p>
        <a:p>
          <a:pPr algn="ctr"/>
          <a:r>
            <a:rPr lang="en-US" sz="1200" b="1">
              <a:solidFill>
                <a:schemeClr val="tx1">
                  <a:lumMod val="95000"/>
                  <a:lumOff val="5000"/>
                </a:schemeClr>
              </a:solidFill>
            </a:rPr>
            <a:t>Status</a:t>
          </a:r>
        </a:p>
      </xdr:txBody>
    </xdr:sp>
    <xdr:clientData/>
  </xdr:twoCellAnchor>
  <xdr:twoCellAnchor>
    <xdr:from>
      <xdr:col>0</xdr:col>
      <xdr:colOff>243840</xdr:colOff>
      <xdr:row>27</xdr:row>
      <xdr:rowOff>152400</xdr:rowOff>
    </xdr:from>
    <xdr:to>
      <xdr:col>2</xdr:col>
      <xdr:colOff>104640</xdr:colOff>
      <xdr:row>30</xdr:row>
      <xdr:rowOff>57300</xdr:rowOff>
    </xdr:to>
    <xdr:sp macro="" textlink="">
      <xdr:nvSpPr>
        <xdr:cNvPr id="42" name="Rectangle: Rounded Corners 41">
          <a:extLst>
            <a:ext uri="{FF2B5EF4-FFF2-40B4-BE49-F238E27FC236}">
              <a16:creationId xmlns:a16="http://schemas.microsoft.com/office/drawing/2014/main" id="{B8B44BB6-7150-44E4-8B68-56731D5F00DC}"/>
            </a:ext>
          </a:extLst>
        </xdr:cNvPr>
        <xdr:cNvSpPr/>
      </xdr:nvSpPr>
      <xdr:spPr>
        <a:xfrm>
          <a:off x="243840" y="5090160"/>
          <a:ext cx="1080000" cy="453540"/>
        </a:xfrm>
        <a:prstGeom prst="roundRect">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lumMod val="95000"/>
                  <a:lumOff val="5000"/>
                </a:schemeClr>
              </a:solidFill>
            </a:rPr>
            <a:t>Gender</a:t>
          </a:r>
        </a:p>
      </xdr:txBody>
    </xdr:sp>
    <xdr:clientData/>
  </xdr:twoCellAnchor>
  <xdr:twoCellAnchor editAs="oneCell">
    <xdr:from>
      <xdr:col>0</xdr:col>
      <xdr:colOff>601980</xdr:colOff>
      <xdr:row>32</xdr:row>
      <xdr:rowOff>148288</xdr:rowOff>
    </xdr:from>
    <xdr:to>
      <xdr:col>2</xdr:col>
      <xdr:colOff>68580</xdr:colOff>
      <xdr:row>35</xdr:row>
      <xdr:rowOff>150599</xdr:rowOff>
    </xdr:to>
    <xdr:pic>
      <xdr:nvPicPr>
        <xdr:cNvPr id="43" name="Picture 42">
          <a:extLst>
            <a:ext uri="{FF2B5EF4-FFF2-40B4-BE49-F238E27FC236}">
              <a16:creationId xmlns:a16="http://schemas.microsoft.com/office/drawing/2014/main" id="{9F0DCE6A-CB74-414B-BDB1-C240E8B7F4D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6850" t="29104" r="3636" b="5446"/>
        <a:stretch>
          <a:fillRect/>
        </a:stretch>
      </xdr:blipFill>
      <xdr:spPr>
        <a:xfrm>
          <a:off x="601980" y="6000448"/>
          <a:ext cx="685800" cy="550951"/>
        </a:xfrm>
        <a:prstGeom prst="roundRect">
          <a:avLst/>
        </a:prstGeom>
        <a:ln w="19050">
          <a:solidFill>
            <a:srgbClr val="1F1BC3"/>
          </a:solidFill>
        </a:ln>
        <a:effectLst>
          <a:glow rad="63500">
            <a:schemeClr val="accent1">
              <a:satMod val="175000"/>
              <a:alpha val="40000"/>
            </a:schemeClr>
          </a:glow>
        </a:effectLst>
      </xdr:spPr>
    </xdr:pic>
    <xdr:clientData/>
  </xdr:twoCellAnchor>
  <xdr:twoCellAnchor>
    <xdr:from>
      <xdr:col>9</xdr:col>
      <xdr:colOff>464820</xdr:colOff>
      <xdr:row>22</xdr:row>
      <xdr:rowOff>144780</xdr:rowOff>
    </xdr:from>
    <xdr:to>
      <xdr:col>16</xdr:col>
      <xdr:colOff>337620</xdr:colOff>
      <xdr:row>39</xdr:row>
      <xdr:rowOff>175260</xdr:rowOff>
    </xdr:to>
    <xdr:sp macro="" textlink="">
      <xdr:nvSpPr>
        <xdr:cNvPr id="44" name="Rectangle: Rounded Corners 43">
          <a:extLst>
            <a:ext uri="{FF2B5EF4-FFF2-40B4-BE49-F238E27FC236}">
              <a16:creationId xmlns:a16="http://schemas.microsoft.com/office/drawing/2014/main" id="{6843AEAC-C13C-8CF7-7356-7BE35382644D}"/>
            </a:ext>
          </a:extLst>
        </xdr:cNvPr>
        <xdr:cNvSpPr/>
      </xdr:nvSpPr>
      <xdr:spPr>
        <a:xfrm>
          <a:off x="5951220" y="4168140"/>
          <a:ext cx="4140000" cy="3139440"/>
        </a:xfrm>
        <a:prstGeom prst="roundRect">
          <a:avLst>
            <a:gd name="adj" fmla="val 714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chemeClr val="tx1"/>
              </a:solidFill>
            </a:rPr>
            <a:t>1.</a:t>
          </a:r>
          <a:r>
            <a:rPr lang="en-US" b="1" baseline="0">
              <a:solidFill>
                <a:srgbClr val="1F1BC3"/>
              </a:solidFill>
            </a:rPr>
            <a:t> </a:t>
          </a:r>
          <a:r>
            <a:rPr lang="en-US" b="1">
              <a:solidFill>
                <a:srgbClr val="1F1BC3"/>
              </a:solidFill>
            </a:rPr>
            <a:t>PhD holders earn a max of ₦8.6M while OND holders cap at            ₦2.3M — a 73% gap suggesting credentials are being rewarded far more than actual output.</a:t>
          </a:r>
        </a:p>
        <a:p>
          <a:pPr algn="l"/>
          <a:r>
            <a:rPr lang="en-US" sz="1200" b="1">
              <a:solidFill>
                <a:schemeClr val="tx1"/>
              </a:solidFill>
            </a:rPr>
            <a:t>2.</a:t>
          </a:r>
          <a:r>
            <a:rPr lang="en-US" b="1">
              <a:solidFill>
                <a:srgbClr val="1F1BC3"/>
              </a:solidFill>
            </a:rPr>
            <a:t> Poor performers (189) outnumber Excellent ones (163) — with only 23% rated Excellent, Vantex has a performance gap that needs urgent attention.</a:t>
          </a:r>
        </a:p>
        <a:p>
          <a:pPr algn="l"/>
          <a:r>
            <a:rPr lang="en-US" sz="1200" b="1">
              <a:solidFill>
                <a:schemeClr val="tx1"/>
              </a:solidFill>
            </a:rPr>
            <a:t>3.</a:t>
          </a:r>
          <a:r>
            <a:rPr lang="en-US" b="1">
              <a:solidFill>
                <a:srgbClr val="1F1BC3"/>
              </a:solidFill>
            </a:rPr>
            <a:t> Sales leads at ₦738K while Customer Service earns just ₦488K — a ₦250K disparity that could drive dissatisfaction and turnover in lower-paying departments.</a:t>
          </a:r>
        </a:p>
        <a:p>
          <a:pPr algn="l"/>
          <a:r>
            <a:rPr lang="en-US" sz="1200" b="1">
              <a:solidFill>
                <a:schemeClr val="tx1"/>
              </a:solidFill>
            </a:rPr>
            <a:t>4.</a:t>
          </a:r>
          <a:r>
            <a:rPr lang="en-US" b="1">
              <a:solidFill>
                <a:srgbClr val="1F1BC3"/>
              </a:solidFill>
            </a:rPr>
            <a:t> Veteran employees (9+ years) record the highest Poor rating (82) of all tenure groups — long service at Vantex is associated with poorer performance, not better.</a:t>
          </a:r>
        </a:p>
        <a:p>
          <a:pPr algn="l"/>
          <a:r>
            <a:rPr lang="en-US" sz="1200" b="1">
              <a:solidFill>
                <a:schemeClr val="tx1"/>
              </a:solidFill>
            </a:rPr>
            <a:t>5.</a:t>
          </a:r>
          <a:r>
            <a:rPr lang="en-US" b="1">
              <a:solidFill>
                <a:srgbClr val="1F1BC3"/>
              </a:solidFill>
            </a:rPr>
            <a:t> Mid-career employees (31–45) lead with the highest Excellent count (77), while Young staff (18–30) score lowest across all categories — peak performance clearly sits in the middle age bracket.</a:t>
          </a:r>
        </a:p>
        <a:p>
          <a:pPr algn="l"/>
          <a:endParaRPr lang="en-US" sz="1100" b="1">
            <a:solidFill>
              <a:srgbClr val="1F1BC3"/>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121920</xdr:colOff>
      <xdr:row>0</xdr:row>
      <xdr:rowOff>15240</xdr:rowOff>
    </xdr:from>
    <xdr:to>
      <xdr:col>26</xdr:col>
      <xdr:colOff>426720</xdr:colOff>
      <xdr:row>15</xdr:row>
      <xdr:rowOff>15240</xdr:rowOff>
    </xdr:to>
    <xdr:graphicFrame macro="">
      <xdr:nvGraphicFramePr>
        <xdr:cNvPr id="2" name="Chart 1">
          <a:extLst>
            <a:ext uri="{FF2B5EF4-FFF2-40B4-BE49-F238E27FC236}">
              <a16:creationId xmlns:a16="http://schemas.microsoft.com/office/drawing/2014/main" id="{6A1D4699-26E2-0C53-E6DE-3C9073F7E9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152400</xdr:colOff>
      <xdr:row>15</xdr:row>
      <xdr:rowOff>80010</xdr:rowOff>
    </xdr:from>
    <xdr:to>
      <xdr:col>26</xdr:col>
      <xdr:colOff>457200</xdr:colOff>
      <xdr:row>30</xdr:row>
      <xdr:rowOff>80010</xdr:rowOff>
    </xdr:to>
    <xdr:graphicFrame macro="">
      <xdr:nvGraphicFramePr>
        <xdr:cNvPr id="4" name="Chart 3">
          <a:extLst>
            <a:ext uri="{FF2B5EF4-FFF2-40B4-BE49-F238E27FC236}">
              <a16:creationId xmlns:a16="http://schemas.microsoft.com/office/drawing/2014/main" id="{EE8DB1A9-32C5-3C1D-AFE7-5B6285C73E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30480</xdr:colOff>
      <xdr:row>31</xdr:row>
      <xdr:rowOff>39732</xdr:rowOff>
    </xdr:from>
    <xdr:to>
      <xdr:col>26</xdr:col>
      <xdr:colOff>335280</xdr:colOff>
      <xdr:row>46</xdr:row>
      <xdr:rowOff>39732</xdr:rowOff>
    </xdr:to>
    <xdr:graphicFrame macro="">
      <xdr:nvGraphicFramePr>
        <xdr:cNvPr id="5" name="Chart 4">
          <a:extLst>
            <a:ext uri="{FF2B5EF4-FFF2-40B4-BE49-F238E27FC236}">
              <a16:creationId xmlns:a16="http://schemas.microsoft.com/office/drawing/2014/main" id="{5BAC673B-C872-2552-D379-BF061C6FC2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22860</xdr:colOff>
      <xdr:row>46</xdr:row>
      <xdr:rowOff>177981</xdr:rowOff>
    </xdr:from>
    <xdr:to>
      <xdr:col>26</xdr:col>
      <xdr:colOff>327660</xdr:colOff>
      <xdr:row>61</xdr:row>
      <xdr:rowOff>177981</xdr:rowOff>
    </xdr:to>
    <xdr:graphicFrame macro="">
      <xdr:nvGraphicFramePr>
        <xdr:cNvPr id="6" name="Chart 5">
          <a:extLst>
            <a:ext uri="{FF2B5EF4-FFF2-40B4-BE49-F238E27FC236}">
              <a16:creationId xmlns:a16="http://schemas.microsoft.com/office/drawing/2014/main" id="{5EA5B08B-838D-9B67-E3F6-DE616E4D93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399506</xdr:colOff>
      <xdr:row>47</xdr:row>
      <xdr:rowOff>69124</xdr:rowOff>
    </xdr:from>
    <xdr:to>
      <xdr:col>18</xdr:col>
      <xdr:colOff>94706</xdr:colOff>
      <xdr:row>62</xdr:row>
      <xdr:rowOff>69125</xdr:rowOff>
    </xdr:to>
    <xdr:graphicFrame macro="">
      <xdr:nvGraphicFramePr>
        <xdr:cNvPr id="7" name="Chart 6">
          <a:extLst>
            <a:ext uri="{FF2B5EF4-FFF2-40B4-BE49-F238E27FC236}">
              <a16:creationId xmlns:a16="http://schemas.microsoft.com/office/drawing/2014/main" id="{6AA3C80A-F58C-D9A1-3340-2B43DF6326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449580</xdr:colOff>
      <xdr:row>12</xdr:row>
      <xdr:rowOff>30480</xdr:rowOff>
    </xdr:from>
    <xdr:to>
      <xdr:col>13</xdr:col>
      <xdr:colOff>449580</xdr:colOff>
      <xdr:row>25</xdr:row>
      <xdr:rowOff>120015</xdr:rowOff>
    </xdr:to>
    <mc:AlternateContent xmlns:mc="http://schemas.openxmlformats.org/markup-compatibility/2006" xmlns:a14="http://schemas.microsoft.com/office/drawing/2010/main">
      <mc:Choice Requires="a14">
        <xdr:graphicFrame macro="">
          <xdr:nvGraphicFramePr>
            <xdr:cNvPr id="8" name="Department 2">
              <a:extLst>
                <a:ext uri="{FF2B5EF4-FFF2-40B4-BE49-F238E27FC236}">
                  <a16:creationId xmlns:a16="http://schemas.microsoft.com/office/drawing/2014/main" id="{1EDCB701-B1C5-FFDD-C7E1-109405D54D40}"/>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8442960" y="22402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1333500</xdr:colOff>
      <xdr:row>12</xdr:row>
      <xdr:rowOff>38100</xdr:rowOff>
    </xdr:from>
    <xdr:to>
      <xdr:col>10</xdr:col>
      <xdr:colOff>190500</xdr:colOff>
      <xdr:row>25</xdr:row>
      <xdr:rowOff>127635</xdr:rowOff>
    </xdr:to>
    <mc:AlternateContent xmlns:mc="http://schemas.openxmlformats.org/markup-compatibility/2006" xmlns:a14="http://schemas.microsoft.com/office/drawing/2010/main">
      <mc:Choice Requires="a14">
        <xdr:graphicFrame macro="">
          <xdr:nvGraphicFramePr>
            <xdr:cNvPr id="9" name="Gender 2">
              <a:extLst>
                <a:ext uri="{FF2B5EF4-FFF2-40B4-BE49-F238E27FC236}">
                  <a16:creationId xmlns:a16="http://schemas.microsoft.com/office/drawing/2014/main" id="{E97D0140-2986-7ACF-3E8F-819F14DD1358}"/>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6355080" y="2247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53340</xdr:colOff>
      <xdr:row>12</xdr:row>
      <xdr:rowOff>22860</xdr:rowOff>
    </xdr:from>
    <xdr:to>
      <xdr:col>17</xdr:col>
      <xdr:colOff>53340</xdr:colOff>
      <xdr:row>25</xdr:row>
      <xdr:rowOff>112395</xdr:rowOff>
    </xdr:to>
    <mc:AlternateContent xmlns:mc="http://schemas.openxmlformats.org/markup-compatibility/2006" xmlns:a14="http://schemas.microsoft.com/office/drawing/2010/main">
      <mc:Choice Requires="a14">
        <xdr:graphicFrame macro="">
          <xdr:nvGraphicFramePr>
            <xdr:cNvPr id="11" name="Employment_Status 2">
              <a:extLst>
                <a:ext uri="{FF2B5EF4-FFF2-40B4-BE49-F238E27FC236}">
                  <a16:creationId xmlns:a16="http://schemas.microsoft.com/office/drawing/2014/main" id="{1F2D4414-F95B-5C45-F74A-2EFA207EA7C2}"/>
                </a:ext>
              </a:extLst>
            </xdr:cNvPr>
            <xdr:cNvGraphicFramePr/>
          </xdr:nvGraphicFramePr>
          <xdr:xfrm>
            <a:off x="0" y="0"/>
            <a:ext cx="0" cy="0"/>
          </xdr:xfrm>
          <a:graphic>
            <a:graphicData uri="http://schemas.microsoft.com/office/drawing/2010/slicer">
              <sle:slicer xmlns:sle="http://schemas.microsoft.com/office/drawing/2010/slicer" name="Employment_Status 2"/>
            </a:graphicData>
          </a:graphic>
        </xdr:graphicFrame>
      </mc:Choice>
      <mc:Fallback xmlns="">
        <xdr:sp macro="" textlink="">
          <xdr:nvSpPr>
            <xdr:cNvPr id="0" name=""/>
            <xdr:cNvSpPr>
              <a:spLocks noTextEdit="1"/>
            </xdr:cNvSpPr>
          </xdr:nvSpPr>
          <xdr:spPr>
            <a:xfrm>
              <a:off x="10485120" y="22326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5.269847916665" backgroundQuery="1" createdVersion="8" refreshedVersion="8" minRefreshableVersion="3" recordCount="0" supportSubquery="1" supportAdvancedDrill="1" xr:uid="{9863AE8E-179E-495B-B4AE-CF866D0C34BB}">
  <cacheSource type="external" connectionId="2"/>
  <cacheFields count="4">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Average of Salary_NGN]" caption="Average of Salary_NGN" numFmtId="0" hierarchy="25" level="32767"/>
    <cacheField name="[Range].[Performance_Rating].[Performance_Rating]" caption="Performance_Rating" numFmtId="0" hierarchy="16" level="1">
      <sharedItems containsSemiMixedTypes="0" containsNonDate="0" containsString="0"/>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2" memberValueDatatype="130" unbalanced="0"/>
    <cacheHierarchy uniqueName="[Range].[First_Name]" caption="First_Name" attribute="1" defaultMemberUniqueName="[Range].[First_Name].[All]" allUniqueName="[Range].[First_Name].[All]" dimensionUniqueName="[Range]" displayFolder="" count="2" memberValueDatatype="130" unbalanced="0"/>
    <cacheHierarchy uniqueName="[Range].[Last_Name]" caption="Last_Name" attribute="1" defaultMemberUniqueName="[Range].[Last_Name].[All]" allUniqueName="[Range].[Last_Name].[All]" dimensionUniqueName="[Range]" displayFolder="" count="2"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Age]" caption="Age" attribute="1" defaultMemberUniqueName="[Range].[Age].[All]" allUniqueName="[Range].[Age].[All]" dimensionUniqueName="[Range]" displayFolder="" count="2" memberValueDatatype="20" unbalanced="0"/>
    <cacheHierarchy uniqueName="[Range].[Age_Group]" caption="Age_Group" attribute="1" defaultMemberUniqueName="[Range].[Age_Group].[All]" allUniqueName="[Range].[Age_Group].[All]" dimensionUniqueName="[Range]" displayFolder="" count="2" memberValueDatatype="130" unbalanced="0"/>
    <cacheHierarchy uniqueName="[Range].[Email]" caption="Email" attribute="1" defaultMemberUniqueName="[Range].[Email].[All]" allUniqueName="[Range].[Email].[All]" dimensionUniqueName="[Range]" displayFolder="" count="2" memberValueDatatype="130" unbalanced="0"/>
    <cacheHierarchy uniqueName="[Range].[Phone_Number]" caption="Phone_Number" attribute="1" defaultMemberUniqueName="[Range].[Phone_Number].[All]" allUniqueName="[Range].[Phone_Number].[All]" dimensionUniqueName="[Range]" displayFolder="" count="2"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2"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2" memberValueDatatype="7" unbalanced="0"/>
    <cacheHierarchy uniqueName="[Range].[Salary_NGN]" caption="Salary_NGN" attribute="1" defaultMemberUniqueName="[Range].[Salary_NGN].[All]" allUniqueName="[Range].[Salary_NGN].[All]" dimensionUniqueName="[Range]" displayFolder="" count="2" memberValueDatatype="5" unbalanced="0"/>
    <cacheHierarchy uniqueName="[Range].[Salary_bands]" caption="Salary_bands" attribute="1" defaultMemberUniqueName="[Range].[Salary_bands].[All]" allUniqueName="[Range].[Salary_bands].[All]" dimensionUniqueName="[Range]" displayFolder="" count="2" memberValueDatatype="130" unbalanced="0"/>
    <cacheHierarchy uniqueName="[Range].[Education_Level]" caption="Education_Level" attribute="1" defaultMemberUniqueName="[Range].[Education_Level].[All]" allUniqueName="[Range].[Education_Level].[All]" dimensionUniqueName="[Range]" displayFolder="" count="2" memberValueDatatype="130" unbalanced="0"/>
    <cacheHierarchy uniqueName="[Range].[Location]" caption="Location" attribute="1" defaultMemberUniqueName="[Range].[Location].[All]" allUniqueName="[Range].[Location].[All]" dimensionUniqueName="[Range]" displayFolder="" count="2"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fieldsUsage count="2">
        <fieldUsage x="-1"/>
        <fieldUsage x="2"/>
      </fieldsUsage>
    </cacheHierarchy>
    <cacheHierarchy uniqueName="[Range].[Years_of_Service]" caption="Years_of_Service" attribute="1" defaultMemberUniqueName="[Range].[Years_of_Service].[All]" allUniqueName="[Range].[Years_of_Service].[All]" dimensionUniqueName="[Range]" displayFolder="" count="2" memberValueDatatype="5" unbalanced="0"/>
    <cacheHierarchy uniqueName="[Range].[Tenure_Category]" caption="Tenure_Category" attribute="1" defaultMemberUniqueName="[Range].[Tenure_Category].[All]" allUniqueName="[Range].[Tenure_Category].[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oneField="1" hidden="1">
      <fieldsUsage count="1">
        <fieldUsage x="1"/>
      </fieldsUsage>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5.269848379627" backgroundQuery="1" createdVersion="8" refreshedVersion="8" minRefreshableVersion="3" recordCount="0" supportSubquery="1" supportAdvancedDrill="1" xr:uid="{9E830FBC-4370-47E3-BB90-77F828439F42}">
  <cacheSource type="external" connectionId="2"/>
  <cacheFields count="4">
    <cacheField name="[Range].[Performance_Rating].[Performance_Rating]" caption="Performance_Rating" numFmtId="0" hierarchy="16" level="1">
      <sharedItems containsSemiMixedTypes="0" containsNonDate="0" containsString="0"/>
    </cacheField>
    <cacheField name="[Range].[Education_Level].[Education_Level]" caption="Education_Level" numFmtId="0" hierarchy="14" level="1">
      <sharedItems count="5">
        <s v="B.Sc"/>
        <s v="HND"/>
        <s v="MSc"/>
        <s v="OND"/>
        <s v="PhD"/>
      </sharedItems>
    </cacheField>
    <cacheField name="[Measures].[Max of Salary_NGN]" caption="Max of Salary_NGN" numFmtId="0" hierarchy="27" level="32767"/>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2" memberValueDatatype="130" unbalanced="0">
      <fieldsUsage count="2">
        <fieldUsage x="-1"/>
        <fieldUsage x="1"/>
      </fieldsUsage>
    </cacheHierarchy>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fieldsUsage count="2">
        <fieldUsage x="-1"/>
        <fieldUsage x="0"/>
      </fieldsUsage>
    </cacheHierarchy>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5.26984872685" backgroundQuery="1" createdVersion="8" refreshedVersion="8" minRefreshableVersion="3" recordCount="0" supportSubquery="1" supportAdvancedDrill="1" xr:uid="{4790D8DC-6A9F-4F20-84DD-E900CB7C7598}">
  <cacheSource type="external" connectionId="2"/>
  <cacheFields count="4">
    <cacheField name="[Range].[Performance_Rating].[Performance_Rating]" caption="Performance_Rating" numFmtId="0" hierarchy="16" level="1">
      <sharedItems count="5">
        <s v="Average"/>
        <s v="Excellent"/>
        <s v="Good"/>
        <s v="Poor"/>
        <s v="N/A" u="1"/>
      </sharedItems>
    </cacheField>
    <cacheField name="[Range].[Age_Group].[Age_Group]" caption="Age_Group" numFmtId="0" hierarchy="5" level="1">
      <sharedItems count="3">
        <s v="Mid-Career (31-45)"/>
        <s v="Senior (46+)"/>
        <s v="Young (18-30)"/>
      </sharedItems>
    </cacheField>
    <cacheField name="[Measures].[Count of Employee_ID]" caption="Count of Employee_ID" numFmtId="0" hierarchy="21" level="32767"/>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2" memberValueDatatype="130" unbalanced="0">
      <fieldsUsage count="2">
        <fieldUsage x="-1"/>
        <fieldUsage x="1"/>
      </fieldsUsage>
    </cacheHierarchy>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fieldsUsage count="2">
        <fieldUsage x="-1"/>
        <fieldUsage x="0"/>
      </fieldsUsage>
    </cacheHierarchy>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5.269849305558" backgroundQuery="1" createdVersion="8" refreshedVersion="8" minRefreshableVersion="3" recordCount="0" supportSubquery="1" supportAdvancedDrill="1" xr:uid="{7B7DEE28-0306-47AA-BFE2-07B30D4F3CD7}">
  <cacheSource type="external" connectionId="2"/>
  <cacheFields count="5">
    <cacheField name="[Range].[Performance_Rating].[Performance_Rating]" caption="Performance_Rating" numFmtId="0" hierarchy="16" level="1">
      <sharedItems count="5">
        <s v="Average"/>
        <s v="Excellent"/>
        <s v="Good"/>
        <s v="Poor"/>
        <s v="N/A" u="1"/>
      </sharedItems>
    </cacheField>
    <cacheField name="[Range].[Age_Group].[Age_Group]" caption="Age_Group" numFmtId="0" hierarchy="5" level="1">
      <sharedItems count="3">
        <s v="Mid-Career (31-45)"/>
        <s v="Senior (46+)"/>
        <s v="Young (18-30)"/>
      </sharedItems>
    </cacheField>
    <cacheField name="[Measures].[Count of Employee_ID]" caption="Count of Employee_ID" numFmtId="0" hierarchy="21" level="32767"/>
    <cacheField name="[Range].[Tenure_Category].[Tenure_Category]" caption="Tenure_Category" numFmtId="0" hierarchy="18" level="1">
      <sharedItems count="3">
        <s v="Growing (6-8 Yrs)"/>
        <s v="New (3-5 Yrs)"/>
        <s v="Veteran (9+ Yrs)"/>
      </sharedItems>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4"/>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2" memberValueDatatype="130" unbalanced="0">
      <fieldsUsage count="2">
        <fieldUsage x="-1"/>
        <fieldUsage x="1"/>
      </fieldsUsage>
    </cacheHierarchy>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fieldsUsage count="2">
        <fieldUsage x="-1"/>
        <fieldUsage x="0"/>
      </fieldsUsage>
    </cacheHierarchy>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2" memberValueDatatype="130" unbalanced="0">
      <fieldsUsage count="2">
        <fieldUsage x="-1"/>
        <fieldUsage x="3"/>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5.26984976852" backgroundQuery="1" createdVersion="8" refreshedVersion="8" minRefreshableVersion="3" recordCount="0" supportSubquery="1" supportAdvancedDrill="1" xr:uid="{19839305-7D6C-4125-BECB-88E8D6E64329}">
  <cacheSource type="external" connectionId="2"/>
  <cacheFields count="4">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Average of Years_of_Service]" caption="Average of Years_of_Service" numFmtId="0" hierarchy="32" level="32767"/>
    <cacheField name="[Range].[Performance_Rating].[Performance_Rating]" caption="Performance_Rating" numFmtId="0" hierarchy="16" level="1">
      <sharedItems containsSemiMixedTypes="0" containsNonDate="0" containsString="0"/>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fieldsUsage count="2">
        <fieldUsage x="-1"/>
        <fieldUsage x="2"/>
      </fieldsUsage>
    </cacheHierarchy>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oneField="1" hidden="1">
      <fieldsUsage count="1">
        <fieldUsage x="1"/>
      </fieldsUsage>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5.269850231482" backgroundQuery="1" createdVersion="8" refreshedVersion="8" minRefreshableVersion="3" recordCount="0" supportSubquery="1" supportAdvancedDrill="1" xr:uid="{0DFE4047-CD5C-4B90-8327-599E64B53D48}">
  <cacheSource type="external" connectionId="2"/>
  <cacheFields count="3">
    <cacheField name="[Range].[Performance_Rating].[Performance_Rating]" caption="Performance_Rating" numFmtId="0" hierarchy="16" level="1">
      <sharedItems count="4">
        <s v="Average"/>
        <s v="Excellent"/>
        <s v="Good"/>
        <s v="Poor"/>
      </sharedItems>
    </cacheField>
    <cacheField name="[Measures].[Count of Employee_ID]" caption="Count of Employee_ID" numFmtId="0" hierarchy="21" level="32767"/>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2"/>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fieldsUsage count="2">
        <fieldUsage x="-1"/>
        <fieldUsage x="0"/>
      </fieldsUsage>
    </cacheHierarchy>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89.37336041667" backgroundQuery="1" createdVersion="8" refreshedVersion="8" minRefreshableVersion="3" recordCount="0" supportSubquery="1" supportAdvancedDrill="1" xr:uid="{BD35B621-6216-41D5-B63B-49297088D2B9}">
  <cacheSource type="external" connectionId="2"/>
  <cacheFields count="3">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Count of Employee_ID]" caption="Count of Employee_ID" numFmtId="0" hierarchy="21" level="32767"/>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2"/>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0"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89.373360763886" backgroundQuery="1" createdVersion="8" refreshedVersion="8" minRefreshableVersion="3" recordCount="0" supportSubquery="1" supportAdvancedDrill="1" xr:uid="{6C30F6B7-2292-4A70-ACB4-32F87D532A22}">
  <cacheSource type="external" connectionId="2"/>
  <cacheFields count="4">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Count of Employee_ID]" caption="Count of Employee_ID" numFmtId="0" hierarchy="21" level="32767"/>
    <cacheField name="[Range].[Location].[Location]" caption="Location" numFmtId="0" hierarchy="15" level="1">
      <sharedItems count="5">
        <s v="Abuja"/>
        <s v="Ibadan"/>
        <s v="Kano"/>
        <s v="Lagos"/>
        <s v="Port Harcourt"/>
      </sharedItems>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2" memberValueDatatype="130" unbalanced="0">
      <fieldsUsage count="2">
        <fieldUsage x="-1"/>
        <fieldUsage x="2"/>
      </fieldsUsage>
    </cacheHierarchy>
    <cacheHierarchy uniqueName="[Range].[Performance_Rating]" caption="Performance_Rating" attribute="1" defaultMemberUniqueName="[Range].[Performance_Rating].[All]" allUniqueName="[Range].[Performance_Rating].[All]" dimensionUniqueName="[Range]" displayFolder="" count="0"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89.373361226855" backgroundQuery="1" createdVersion="8" refreshedVersion="8" minRefreshableVersion="3" recordCount="0" supportSubquery="1" supportAdvancedDrill="1" xr:uid="{996DF682-6A41-4C6C-B217-5A9F19BDF7F9}">
  <cacheSource type="external" connectionId="2"/>
  <cacheFields count="4">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Count of Employee_ID]" caption="Count of Employee_ID" numFmtId="0" hierarchy="21" level="32767"/>
    <cacheField name="[Range].[Location].[Location]" caption="Location" numFmtId="0" hierarchy="15" level="1">
      <sharedItems count="5">
        <s v="Abuja"/>
        <s v="Ibadan"/>
        <s v="Kano"/>
        <s v="Lagos"/>
        <s v="Port Harcourt"/>
      </sharedItems>
    </cacheField>
    <cacheField name="[Range].[Gender].[Gender]" caption="Gender" numFmtId="0" hierarchy="3" level="1">
      <sharedItems count="2">
        <s v="Female"/>
        <s v="Male"/>
      </sharedItems>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2" memberValueDatatype="130" unbalanced="0">
      <fieldsUsage count="2">
        <fieldUsage x="-1"/>
        <fieldUsage x="2"/>
      </fieldsUsage>
    </cacheHierarchy>
    <cacheHierarchy uniqueName="[Range].[Performance_Rating]" caption="Performance_Rating" attribute="1" defaultMemberUniqueName="[Range].[Performance_Rating].[All]" allUniqueName="[Range].[Performance_Rating].[All]" dimensionUniqueName="[Range]" displayFolder="" count="0"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89.373361574071" backgroundQuery="1" createdVersion="8" refreshedVersion="8" minRefreshableVersion="3" recordCount="0" supportSubquery="1" supportAdvancedDrill="1" xr:uid="{8AAE3E18-8E1F-43F2-89B8-A57C6A5F0CAC}">
  <cacheSource type="external" connectionId="2"/>
  <cacheFields count="5">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Count of Employee_ID]" caption="Count of Employee_ID" numFmtId="0" hierarchy="21" level="32767"/>
    <cacheField name="[Range].[Location].[Location]" caption="Location" numFmtId="0" hierarchy="15" level="1">
      <sharedItems count="5">
        <s v="Abuja"/>
        <s v="Ibadan"/>
        <s v="Kano"/>
        <s v="Lagos"/>
        <s v="Port Harcourt"/>
      </sharedItems>
    </cacheField>
    <cacheField name="[Range].[Education_Level].[Education_Level]" caption="Education_Level" numFmtId="0" hierarchy="14" level="1">
      <sharedItems count="5">
        <s v="B.Sc"/>
        <s v="HND"/>
        <s v="MSc"/>
        <s v="OND"/>
        <s v="PhD"/>
      </sharedItems>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4"/>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2" memberValueDatatype="130" unbalanced="0">
      <fieldsUsage count="2">
        <fieldUsage x="-1"/>
        <fieldUsage x="3"/>
      </fieldsUsage>
    </cacheHierarchy>
    <cacheHierarchy uniqueName="[Range].[Location]" caption="Location" attribute="1" defaultMemberUniqueName="[Range].[Location].[All]" allUniqueName="[Range].[Location].[All]" dimensionUniqueName="[Range]" displayFolder="" count="2" memberValueDatatype="130" unbalanced="0">
      <fieldsUsage count="2">
        <fieldUsage x="-1"/>
        <fieldUsage x="2"/>
      </fieldsUsage>
    </cacheHierarchy>
    <cacheHierarchy uniqueName="[Range].[Performance_Rating]" caption="Performance_Rating" attribute="1" defaultMemberUniqueName="[Range].[Performance_Rating].[All]" allUniqueName="[Range].[Performance_Rating].[All]" dimensionUniqueName="[Range]" displayFolder="" count="0"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89.373361921294" backgroundQuery="1" createdVersion="8" refreshedVersion="8" minRefreshableVersion="3" recordCount="0" supportSubquery="1" supportAdvancedDrill="1" xr:uid="{1A95AE65-4BD4-45A0-86CE-491EB93BF84D}">
  <cacheSource type="external" connectionId="2"/>
  <cacheFields count="6">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Measures].[Count of Employee_ID]" caption="Count of Employee_ID" numFmtId="0" hierarchy="21" level="32767"/>
    <cacheField name="[Range].[Location].[Location]" caption="Location" numFmtId="0" hierarchy="15" level="1">
      <sharedItems count="5">
        <s v="Abuja"/>
        <s v="Ibadan"/>
        <s v="Kano"/>
        <s v="Lagos"/>
        <s v="Port Harcourt"/>
      </sharedItems>
    </cacheField>
    <cacheField name="[Range].[Education_Level].[Education_Level]" caption="Education_Level" numFmtId="0" hierarchy="14" level="1">
      <sharedItems count="5">
        <s v="B.Sc"/>
        <s v="HND"/>
        <s v="MSc"/>
        <s v="OND"/>
        <s v="PhD"/>
      </sharedItems>
    </cacheField>
    <cacheField name="[Range].[Employment_Status].[Employment_Status]" caption="Employment_Status" numFmtId="0" hierarchy="10" level="1">
      <sharedItems count="4">
        <s v="Contract"/>
        <s v="Full Time"/>
        <s v="Intern"/>
        <s v="Part Time"/>
      </sharedItems>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5"/>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fieldsUsage count="2">
        <fieldUsage x="-1"/>
        <fieldUsage x="4"/>
      </fieldsUsage>
    </cacheHierarchy>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2" memberValueDatatype="130" unbalanced="0">
      <fieldsUsage count="2">
        <fieldUsage x="-1"/>
        <fieldUsage x="3"/>
      </fieldsUsage>
    </cacheHierarchy>
    <cacheHierarchy uniqueName="[Range].[Location]" caption="Location" attribute="1" defaultMemberUniqueName="[Range].[Location].[All]" allUniqueName="[Range].[Location].[All]" dimensionUniqueName="[Range]" displayFolder="" count="2" memberValueDatatype="130" unbalanced="0">
      <fieldsUsage count="2">
        <fieldUsage x="-1"/>
        <fieldUsage x="2"/>
      </fieldsUsage>
    </cacheHierarchy>
    <cacheHierarchy uniqueName="[Range].[Performance_Rating]" caption="Performance_Rating" attribute="1" defaultMemberUniqueName="[Range].[Performance_Rating].[All]" allUniqueName="[Range].[Performance_Rating].[All]" dimensionUniqueName="[Range]" displayFolder="" count="0"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89.373362268518" backgroundQuery="1" createdVersion="8" refreshedVersion="8" minRefreshableVersion="3" recordCount="0" supportSubquery="1" supportAdvancedDrill="1" xr:uid="{4F3845C7-5766-4891-9BB1-F1EB28D0EB50}">
  <cacheSource type="external" connectionId="2"/>
  <cacheFields count="3">
    <cacheField name="[Measures].[Average of Age]" caption="Average of Age" numFmtId="0" hierarchy="23" level="32767"/>
    <cacheField name="[Range].[Department].[Department]" caption="Department" numFmtId="0" hierarchy="8" level="1">
      <sharedItems count="10">
        <s v="Customer Service"/>
        <s v="Finance"/>
        <s v="Human Resources"/>
        <s v="Information Technology"/>
        <s v="Legal"/>
        <s v="Logistics"/>
        <s v="Marketing"/>
        <s v="Operations"/>
        <s v="Procurement"/>
        <s v="Sales"/>
      </sharedItems>
    </cacheField>
    <cacheField name="[Range].[Gender].[Gender]" caption="Gender" numFmtId="0" hierarchy="3"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2"/>
      </fieldsUsage>
    </cacheHierarchy>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1"/>
      </fieldsUsage>
    </cacheHierarchy>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0"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Salary_NGN]" caption="Sum of Salary_NGN" measure="1" displayFolder="" measureGroup="Range" count="0" hidden="1">
      <extLst>
        <ext xmlns:x15="http://schemas.microsoft.com/office/spreadsheetml/2010/11/main" uri="{B97F6D7D-B522-45F9-BDA1-12C45D357490}">
          <x15:cacheHierarchy aggregatedColumn="12"/>
        </ext>
      </extLst>
    </cacheHierarchy>
    <cacheHierarchy uniqueName="[Measures].[Average of Salary_NGN]" caption="Average of Salary_NGN" measure="1" displayFolder="" measureGroup="Range" count="0" hidden="1">
      <extLst>
        <ext xmlns:x15="http://schemas.microsoft.com/office/spreadsheetml/2010/11/main" uri="{B97F6D7D-B522-45F9-BDA1-12C45D357490}">
          <x15:cacheHierarchy aggregatedColumn="12"/>
        </ext>
      </extLst>
    </cacheHierarchy>
    <cacheHierarchy uniqueName="[Measures].[StdDev of Salary_NGN]" caption="StdDev of Salary_NGN" measure="1" displayFolder="" measureGroup="Range" count="0" hidden="1">
      <extLst>
        <ext xmlns:x15="http://schemas.microsoft.com/office/spreadsheetml/2010/11/main" uri="{B97F6D7D-B522-45F9-BDA1-12C45D357490}">
          <x15:cacheHierarchy aggregatedColumn="12"/>
        </ext>
      </extLst>
    </cacheHierarchy>
    <cacheHierarchy uniqueName="[Measures].[Max of Salary_NGN]" caption="Max of Salary_NGN" measure="1" displayFolder="" measureGroup="Range" count="0" hidden="1">
      <extLst>
        <ext xmlns:x15="http://schemas.microsoft.com/office/spreadsheetml/2010/11/main" uri="{B97F6D7D-B522-45F9-BDA1-12C45D357490}">
          <x15:cacheHierarchy aggregatedColumn="12"/>
        </ext>
      </extLst>
    </cacheHierarchy>
    <cacheHierarchy uniqueName="[Measures].[Count of Education_Level]" caption="Count of Education_Level" measure="1" displayFolder="" measureGroup="Range" count="0" hidden="1">
      <extLst>
        <ext xmlns:x15="http://schemas.microsoft.com/office/spreadsheetml/2010/11/main" uri="{B97F6D7D-B522-45F9-BDA1-12C45D357490}">
          <x15:cacheHierarchy aggregatedColumn="14"/>
        </ext>
      </extLst>
    </cacheHierarchy>
    <cacheHierarchy uniqueName="[Measures].[Min of Salary_NGN]" caption="Min of Salary_NGN" measure="1" displayFolder="" measureGroup="Range" count="0" hidden="1">
      <extLst>
        <ext xmlns:x15="http://schemas.microsoft.com/office/spreadsheetml/2010/11/main" uri="{B97F6D7D-B522-45F9-BDA1-12C45D357490}">
          <x15:cacheHierarchy aggregatedColumn="12"/>
        </ext>
      </extLst>
    </cacheHierarchy>
    <cacheHierarchy uniqueName="[Measures].[Var of Salary_NGN]" caption="Var of Salary_NGN" measure="1" displayFolder="" measureGroup="Range" count="0" hidden="1">
      <extLst>
        <ext xmlns:x15="http://schemas.microsoft.com/office/spreadsheetml/2010/11/main" uri="{B97F6D7D-B522-45F9-BDA1-12C45D357490}">
          <x15:cacheHierarchy aggregatedColumn="12"/>
        </ext>
      </extLst>
    </cacheHierarchy>
    <cacheHierarchy uniqueName="[Measures].[Sum of Years_of_Service]" caption="Sum of Years_of_Service" measure="1" displayFolder="" measureGroup="Range" count="0" hidden="1">
      <extLst>
        <ext xmlns:x15="http://schemas.microsoft.com/office/spreadsheetml/2010/11/main" uri="{B97F6D7D-B522-45F9-BDA1-12C45D357490}">
          <x15:cacheHierarchy aggregatedColumn="17"/>
        </ext>
      </extLst>
    </cacheHierarchy>
    <cacheHierarchy uniqueName="[Measures].[Average of Years_of_Service]" caption="Average of Years_of_Service" measure="1" displayFolder="" measureGroup="Range" count="0" hidden="1">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164.436436226853" backgroundQuery="1" createdVersion="3" refreshedVersion="8" minRefreshableVersion="3" recordCount="0" supportSubquery="1" supportAdvancedDrill="1" xr:uid="{132107F2-1D6B-45BD-995A-E3168D3EDE47}">
  <cacheSource type="external" connectionId="2">
    <extLst>
      <ext xmlns:x14="http://schemas.microsoft.com/office/spreadsheetml/2009/9/main" uri="{F057638F-6D5F-4e77-A914-E7F072B9BCA8}">
        <x14:sourceConnection name="ThisWorkbookDataModel"/>
      </ext>
    </extLst>
  </cacheSource>
  <cacheFields count="0"/>
  <cacheHierarchies count="24">
    <cacheHierarchy uniqueName="[Range].[Employee_ID]" caption="Employee_ID" attribute="1" defaultMemberUniqueName="[Range].[Employee_ID].[All]" allUniqueName="[Range].[Employee_ID].[All]" dimensionUniqueName="[Range]" displayFolder="" count="0" memberValueDatatype="130" unbalanced="0"/>
    <cacheHierarchy uniqueName="[Range].[First_Name]" caption="First_Name" attribute="1" defaultMemberUniqueName="[Range].[First_Name].[All]" allUniqueName="[Range].[First_Name].[All]" dimensionUniqueName="[Range]" displayFolder="" count="0" memberValueDatatype="130" unbalanced="0"/>
    <cacheHierarchy uniqueName="[Range].[Last_Name]" caption="Last_Name" attribute="1" defaultMemberUniqueName="[Range].[Last_Name].[All]" allUniqueName="[Range].[Last_Name].[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cacheHierarchy uniqueName="[Range].[Age]" caption="Age" attribute="1" defaultMemberUniqueName="[Range].[Age].[All]" allUniqueName="[Range].[Age].[All]" dimensionUniqueName="[Range]" displayFolder="" count="0" memberValueDatatype="20" unbalanced="0"/>
    <cacheHierarchy uniqueName="[Range].[Age_Group]" caption="Age_Group" attribute="1" defaultMemberUniqueName="[Range].[Age_Group].[All]" allUniqueName="[Range].[Age_Group].[All]" dimensionUniqueName="[Range]" displayFolder="" count="0" memberValueDatatype="130" unbalanced="0"/>
    <cacheHierarchy uniqueName="[Range].[Email]" caption="Email" attribute="1" defaultMemberUniqueName="[Range].[Email].[All]" allUniqueName="[Range].[Email].[All]" dimensionUniqueName="[Range]" displayFolder="" count="0" memberValueDatatype="130" unbalanced="0"/>
    <cacheHierarchy uniqueName="[Range].[Phone_Number]" caption="Phone_Number" attribute="1" defaultMemberUniqueName="[Range].[Phone_Number].[All]" allUniqueName="[Range].[Phone_Number].[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Job_Title]" caption="Job_Title" attribute="1" defaultMemberUniqueName="[Range].[Job_Title].[All]" allUniqueName="[Range].[Job_Title].[All]" dimensionUniqueName="[Range]" displayFolder="" count="0" memberValueDatatype="130" unbalanced="0"/>
    <cacheHierarchy uniqueName="[Range].[Employment_Status]" caption="Employment_Status" attribute="1" defaultMemberUniqueName="[Range].[Employment_Status].[All]" allUniqueName="[Range].[Employment_Status].[All]" dimensionUniqueName="[Range]" displayFolder="" count="2" memberValueDatatype="130" unbalanced="0"/>
    <cacheHierarchy uniqueName="[Range].[Hire_Date]" caption="Hire_Date" attribute="1" time="1" defaultMemberUniqueName="[Range].[Hire_Date].[All]" allUniqueName="[Range].[Hire_Date].[All]" dimensionUniqueName="[Range]" displayFolder="" count="0" memberValueDatatype="7" unbalanced="0"/>
    <cacheHierarchy uniqueName="[Range].[Salary_NGN]" caption="Salary_NGN" attribute="1" defaultMemberUniqueName="[Range].[Salary_NGN].[All]" allUniqueName="[Range].[Salary_NGN].[All]" dimensionUniqueName="[Range]" displayFolder="" count="0" memberValueDatatype="5" unbalanced="0"/>
    <cacheHierarchy uniqueName="[Range].[Salary_bands]" caption="Salary_bands" attribute="1" defaultMemberUniqueName="[Range].[Salary_bands].[All]" allUniqueName="[Range].[Salary_bands].[All]" dimensionUniqueName="[Range]" displayFolder="" count="0" memberValueDatatype="130" unbalanced="0"/>
    <cacheHierarchy uniqueName="[Range].[Education_Level]" caption="Education_Level" attribute="1" defaultMemberUniqueName="[Range].[Education_Level].[All]" allUniqueName="[Range].[Education_Level].[All]" dimensionUniqueName="[Range]" displayFolder="" count="0" memberValueDatatype="130" unbalanced="0"/>
    <cacheHierarchy uniqueName="[Range].[Location]" caption="Location" attribute="1" defaultMemberUniqueName="[Range].[Location].[All]" allUniqueName="[Range].[Location].[All]" dimensionUniqueName="[Range]" displayFolder="" count="0" memberValueDatatype="130" unbalanced="0"/>
    <cacheHierarchy uniqueName="[Range].[Performance_Rating]" caption="Performance_Rating" attribute="1" defaultMemberUniqueName="[Range].[Performance_Rating].[All]" allUniqueName="[Range].[Performance_Rating].[All]" dimensionUniqueName="[Range]" displayFolder="" count="2" memberValueDatatype="130" unbalanced="0"/>
    <cacheHierarchy uniqueName="[Range].[Years_of_Service]" caption="Years_of_Service" attribute="1" defaultMemberUniqueName="[Range].[Years_of_Service].[All]" allUniqueName="[Range].[Years_of_Service].[All]" dimensionUniqueName="[Range]" displayFolder="" count="0" memberValueDatatype="5" unbalanced="0"/>
    <cacheHierarchy uniqueName="[Range].[Tenure_Category]" caption="Tenure_Category" attribute="1" defaultMemberUniqueName="[Range].[Tenure_Category].[All]" allUniqueName="[Range].[Tenure_Category].[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Range" count="0" hidden="1">
      <extLst>
        <ext xmlns:x15="http://schemas.microsoft.com/office/spreadsheetml/2010/11/main" uri="{B97F6D7D-B522-45F9-BDA1-12C45D357490}">
          <x15:cacheHierarchy aggregatedColumn="4"/>
        </ext>
      </extLst>
    </cacheHierarchy>
    <cacheHierarchy uniqueName="[Measures].[Average of Age]" caption="Average of Age" measure="1" displayFolder="" measureGroup="Rang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39817962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BF68E4-0EEA-46E6-BBB9-8143D5EB500F}" name="PivotTable3"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25:D37" firstHeaderRow="1" firstDataRow="2" firstDataCol="1"/>
  <pivotFields count="4">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2">
        <item x="0"/>
        <item x="1"/>
      </items>
    </pivotField>
  </pivotFields>
  <rowFields count="1">
    <field x="0"/>
  </rowFields>
  <rowItems count="11">
    <i>
      <x v="9"/>
    </i>
    <i>
      <x v="3"/>
    </i>
    <i>
      <x v="6"/>
    </i>
    <i>
      <x v="5"/>
    </i>
    <i>
      <x v="8"/>
    </i>
    <i>
      <x/>
    </i>
    <i>
      <x v="4"/>
    </i>
    <i>
      <x v="7"/>
    </i>
    <i>
      <x v="2"/>
    </i>
    <i>
      <x v="1"/>
    </i>
    <i t="grand">
      <x/>
    </i>
  </rowItems>
  <colFields count="1">
    <field x="3"/>
  </colFields>
  <colItems count="3">
    <i>
      <x/>
    </i>
    <i>
      <x v="1"/>
    </i>
    <i t="grand">
      <x/>
    </i>
  </colItems>
  <dataFields count="1">
    <dataField name="Count of Employee_ID" fld="1" subtotal="count" baseField="0" baseItem="0"/>
  </dataFields>
  <chartFormats count="6">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22" format="0" series="1">
      <pivotArea type="data" outline="0" fieldPosition="0">
        <references count="2">
          <reference field="4294967294" count="1" selected="0">
            <x v="0"/>
          </reference>
          <reference field="3" count="1" selected="0">
            <x v="0"/>
          </reference>
        </references>
      </pivotArea>
    </chartFormat>
    <chartFormat chart="22" format="1" series="1">
      <pivotArea type="data" outline="0" fieldPosition="0">
        <references count="2">
          <reference field="4294967294" count="1" selected="0">
            <x v="0"/>
          </reference>
          <reference field="3" count="1" selected="0">
            <x v="1"/>
          </reference>
        </references>
      </pivotArea>
    </chartFormat>
    <chartFormat chart="25" format="4" series="1">
      <pivotArea type="data" outline="0" fieldPosition="0">
        <references count="2">
          <reference field="4294967294" count="1" selected="0">
            <x v="0"/>
          </reference>
          <reference field="3" count="1" selected="0">
            <x v="0"/>
          </reference>
        </references>
      </pivotArea>
    </chartFormat>
    <chartFormat chart="25" format="5" series="1">
      <pivotArea type="data" outline="0" fieldPosition="0">
        <references count="2">
          <reference field="4294967294" count="1" selected="0">
            <x v="0"/>
          </reference>
          <reference field="3" count="1" selected="0">
            <x v="1"/>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BA3503-AED0-4138-BE77-04944D4B1CF1}" name="PivotTable2"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6:B22" firstHeaderRow="1" firstDataRow="1" firstDataCol="1"/>
  <pivotFields count="4">
    <pivotField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v="1"/>
    </i>
    <i>
      <x v="3"/>
    </i>
    <i>
      <x v="4"/>
    </i>
    <i>
      <x/>
    </i>
    <i>
      <x v="2"/>
    </i>
    <i t="grand">
      <x/>
    </i>
  </rowItems>
  <colItems count="1">
    <i/>
  </colItems>
  <dataFields count="1">
    <dataField name="Count of Employee_ID" fld="1" subtotal="count" baseField="0" baseItem="0"/>
  </dataFields>
  <chartFormats count="3">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816291-3815-4879-A92C-E4CF5DA53B4B}" name="PivotTable1"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B13" firstHeaderRow="1" firstDataRow="1" firstDataCol="1"/>
  <pivotFields count="3">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9"/>
    </i>
    <i>
      <x v="3"/>
    </i>
    <i>
      <x v="6"/>
    </i>
    <i>
      <x v="5"/>
    </i>
    <i>
      <x v="8"/>
    </i>
    <i>
      <x/>
    </i>
    <i>
      <x v="4"/>
    </i>
    <i>
      <x v="7"/>
    </i>
    <i>
      <x v="2"/>
    </i>
    <i>
      <x v="1"/>
    </i>
    <i t="grand">
      <x/>
    </i>
  </rowItems>
  <colItems count="1">
    <i/>
  </colItems>
  <dataFields count="1">
    <dataField name="Count of Employee_ID" fld="1" subtotal="count"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958CDC-8846-4032-BC17-58B63D6C6D91}" name="PivotTable6" cacheId="4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4">
  <location ref="A57:B68" firstHeaderRow="1" firstDataRow="1" firstDataCol="1"/>
  <pivotFields count="3">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name="Average of Age" fld="0" subtotal="average" baseField="0" baseItem="0"/>
  </dataField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Average of Ag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AC6636-5580-4E53-87BF-91C944F94AE8}" name="PivotTable5"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location ref="A49:B54" firstHeaderRow="1" firstDataRow="1" firstDataCol="1"/>
  <pivotFields count="6">
    <pivotField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4"/>
  </rowFields>
  <rowItems count="5">
    <i>
      <x v="2"/>
    </i>
    <i>
      <x/>
    </i>
    <i>
      <x v="1"/>
    </i>
    <i>
      <x v="3"/>
    </i>
    <i t="grand">
      <x/>
    </i>
  </rowItems>
  <colItems count="1">
    <i/>
  </colItems>
  <dataFields count="1">
    <dataField name="Count of Employee_ID" fld="1" subtotal="count" baseField="0" baseItem="0"/>
  </dataFields>
  <chartFormats count="14">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1" format="6" series="1">
      <pivotArea type="data" outline="0" fieldPosition="0">
        <references count="1">
          <reference field="4294967294" count="1" selected="0">
            <x v="0"/>
          </reference>
        </references>
      </pivotArea>
    </chartFormat>
    <chartFormat chart="41" format="7">
      <pivotArea type="data" outline="0" fieldPosition="0">
        <references count="2">
          <reference field="4294967294" count="1" selected="0">
            <x v="0"/>
          </reference>
          <reference field="4" count="1" selected="0">
            <x v="2"/>
          </reference>
        </references>
      </pivotArea>
    </chartFormat>
    <chartFormat chart="41" format="8">
      <pivotArea type="data" outline="0" fieldPosition="0">
        <references count="2">
          <reference field="4294967294" count="1" selected="0">
            <x v="0"/>
          </reference>
          <reference field="4" count="1" selected="0">
            <x v="0"/>
          </reference>
        </references>
      </pivotArea>
    </chartFormat>
    <chartFormat chart="41" format="9">
      <pivotArea type="data" outline="0" fieldPosition="0">
        <references count="2">
          <reference field="4294967294" count="1" selected="0">
            <x v="0"/>
          </reference>
          <reference field="4" count="1" selected="0">
            <x v="1"/>
          </reference>
        </references>
      </pivotArea>
    </chartFormat>
    <chartFormat chart="41" format="10">
      <pivotArea type="data" outline="0" fieldPosition="0">
        <references count="2">
          <reference field="4294967294" count="1" selected="0">
            <x v="0"/>
          </reference>
          <reference field="4" count="1" selected="0">
            <x v="3"/>
          </reference>
        </references>
      </pivotArea>
    </chartFormat>
    <chartFormat chart="37" format="1">
      <pivotArea type="data" outline="0" fieldPosition="0">
        <references count="2">
          <reference field="4294967294" count="1" selected="0">
            <x v="0"/>
          </reference>
          <reference field="4" count="1" selected="0">
            <x v="2"/>
          </reference>
        </references>
      </pivotArea>
    </chartFormat>
    <chartFormat chart="37" format="2">
      <pivotArea type="data" outline="0" fieldPosition="0">
        <references count="2">
          <reference field="4294967294" count="1" selected="0">
            <x v="0"/>
          </reference>
          <reference field="4" count="1" selected="0">
            <x v="0"/>
          </reference>
        </references>
      </pivotArea>
    </chartFormat>
    <chartFormat chart="37" format="3">
      <pivotArea type="data" outline="0" fieldPosition="0">
        <references count="2">
          <reference field="4294967294" count="1" selected="0">
            <x v="0"/>
          </reference>
          <reference field="4" count="1" selected="0">
            <x v="1"/>
          </reference>
        </references>
      </pivotArea>
    </chartFormat>
    <chartFormat chart="37" format="4">
      <pivotArea type="data" outline="0" fieldPosition="0">
        <references count="2">
          <reference field="4294967294" count="1" selected="0">
            <x v="0"/>
          </reference>
          <reference field="4" count="1" selected="0">
            <x v="3"/>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444547-2C1B-47AB-8CEB-427C94FAED9C}" name="PivotTable4"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40:B46" firstHeaderRow="1" firstDataRow="1" firstDataCol="1"/>
  <pivotFields count="5">
    <pivotField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6">
    <i>
      <x v="2"/>
    </i>
    <i>
      <x/>
    </i>
    <i>
      <x v="4"/>
    </i>
    <i>
      <x v="1"/>
    </i>
    <i>
      <x v="3"/>
    </i>
    <i t="grand">
      <x/>
    </i>
  </rowItems>
  <colItems count="1">
    <i/>
  </colItems>
  <dataFields count="1">
    <dataField name="Count of Employee_ID" fld="1" subtotal="count" baseField="0" baseItem="0"/>
  </dataFields>
  <chartFormats count="4">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EBDBA2-80D3-4FDD-AA53-8167353C6ABE}" name="PivotTable18"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9:B60" firstHeaderRow="1" firstDataRow="1" firstDataCol="1"/>
  <pivotFields count="4">
    <pivotField axis="axisRow" allDrilled="1" subtotalTop="0" showAll="0" defaultSubtotal="0" defaultAttributeDrillState="1">
      <items count="10">
        <item x="9"/>
        <item x="0"/>
        <item x="1"/>
        <item x="2"/>
        <item x="3"/>
        <item x="4"/>
        <item x="5"/>
        <item x="6"/>
        <item x="7"/>
        <item x="8"/>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Average of Years_of_Service" fld="1" subtotal="average" baseField="0" baseItem="0" numFmtId="2"/>
  </dataFields>
  <formats count="1">
    <format dxfId="0">
      <pivotArea outline="0" collapsedLevelsAreSubtotals="1" fieldPosition="0"/>
    </format>
  </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4" level="1">
        <member name="[Range].[Performance_Rating].&amp;[Average]"/>
        <member name="[Range].[Performance_Rating].&amp;[Excellent]"/>
        <member name="[Range].[Performance_Rating].&amp;[Good]"/>
        <member name="[Range].[Performance_Rating].&amp;[Poor]"/>
      </members>
    </pivotHierarchy>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_NGN"/>
    <pivotHierarchy dragToData="1"/>
    <pivotHierarchy dragToData="1"/>
    <pivotHierarchy dragToData="1"/>
    <pivotHierarchy dragToData="1"/>
    <pivotHierarchy dragToData="1"/>
    <pivotHierarchy dragToData="1"/>
    <pivotHierarchy dragToData="1" caption="Average of Years_of_Service"/>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2D84FF-940D-4512-967D-E794B298A159}" name="PivotTable1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41:F46" firstHeaderRow="1" firstDataRow="2" firstDataCol="1"/>
  <pivotFields count="5">
    <pivotField axis="axisCol" allDrilled="1" subtotalTop="0" showAll="0" dataSourceSort="1" defaultSubtotal="0" defaultAttributeDrillState="1">
      <items count="5">
        <item s="1" x="0"/>
        <item s="1" x="1"/>
        <item s="1" x="2"/>
        <item s="1" x="3"/>
        <item x="4"/>
      </items>
    </pivotField>
    <pivotField allDrilled="1" subtotalTop="0" showAll="0" dataSourceSort="1" defaultSubtotal="0" defaultAttributeDrillState="1">
      <items count="3">
        <item s="1" x="0"/>
        <item s="1" x="1"/>
        <item s="1" x="2"/>
      </items>
    </pivotField>
    <pivotField dataField="1" subtotalTop="0" showAll="0" defaultSubtotal="0"/>
    <pivotField axis="axisRow" allDrilled="1" subtotalTop="0" showAll="0" defaultSubtotal="0" defaultAttributeDrillState="1">
      <items count="3">
        <item x="2"/>
        <item x="0"/>
        <item x="1"/>
      </items>
    </pivotField>
    <pivotField allDrilled="1" subtotalTop="0" showAll="0" dataSourceSort="1" defaultSubtotal="0" defaultAttributeDrillState="1"/>
  </pivotFields>
  <rowFields count="1">
    <field x="3"/>
  </rowFields>
  <rowItems count="4">
    <i>
      <x/>
    </i>
    <i>
      <x v="1"/>
    </i>
    <i>
      <x v="2"/>
    </i>
    <i t="grand">
      <x/>
    </i>
  </rowItems>
  <colFields count="1">
    <field x="0"/>
  </colFields>
  <colItems count="5">
    <i>
      <x/>
    </i>
    <i>
      <x v="1"/>
    </i>
    <i>
      <x v="2"/>
    </i>
    <i>
      <x v="3"/>
    </i>
    <i t="grand">
      <x/>
    </i>
  </colItems>
  <dataFields count="1">
    <dataField name="Count of Employee_ID" fld="2" subtotal="count" baseField="0" baseItem="0" numFmtId="1"/>
  </dataFields>
  <formats count="1">
    <format dxfId="1">
      <pivotArea outline="0" collapsedLevelsAreSubtotals="1" fieldPosition="0"/>
    </format>
  </formats>
  <chartFormats count="14">
    <chartFormat chart="14" format="0" series="1">
      <pivotArea type="data" outline="0" fieldPosition="0">
        <references count="2">
          <reference field="4294967294" count="1" selected="0">
            <x v="0"/>
          </reference>
          <reference field="0" count="1" selected="0">
            <x v="0"/>
          </reference>
        </references>
      </pivotArea>
    </chartFormat>
    <chartFormat chart="14" format="1" series="1">
      <pivotArea type="data" outline="0" fieldPosition="0">
        <references count="2">
          <reference field="4294967294" count="1" selected="0">
            <x v="0"/>
          </reference>
          <reference field="0" count="1" selected="0">
            <x v="1"/>
          </reference>
        </references>
      </pivotArea>
    </chartFormat>
    <chartFormat chart="14" format="2" series="1">
      <pivotArea type="data" outline="0" fieldPosition="0">
        <references count="2">
          <reference field="4294967294" count="1" selected="0">
            <x v="0"/>
          </reference>
          <reference field="0" count="1" selected="0">
            <x v="2"/>
          </reference>
        </references>
      </pivotArea>
    </chartFormat>
    <chartFormat chart="14" format="3" series="1">
      <pivotArea type="data" outline="0" fieldPosition="0">
        <references count="2">
          <reference field="4294967294" count="1" selected="0">
            <x v="0"/>
          </reference>
          <reference field="0" count="1" selected="0">
            <x v="3"/>
          </reference>
        </references>
      </pivotArea>
    </chartFormat>
    <chartFormat chart="19" format="0" series="1">
      <pivotArea type="data" outline="0" fieldPosition="0">
        <references count="2">
          <reference field="4294967294" count="1" selected="0">
            <x v="0"/>
          </reference>
          <reference field="0" count="1" selected="0">
            <x v="0"/>
          </reference>
        </references>
      </pivotArea>
    </chartFormat>
    <chartFormat chart="19" format="1" series="1">
      <pivotArea type="data" outline="0" fieldPosition="0">
        <references count="2">
          <reference field="4294967294" count="1" selected="0">
            <x v="0"/>
          </reference>
          <reference field="0" count="1" selected="0">
            <x v="1"/>
          </reference>
        </references>
      </pivotArea>
    </chartFormat>
    <chartFormat chart="19" format="2" series="1">
      <pivotArea type="data" outline="0" fieldPosition="0">
        <references count="2">
          <reference field="4294967294" count="1" selected="0">
            <x v="0"/>
          </reference>
          <reference field="0" count="1" selected="0">
            <x v="2"/>
          </reference>
        </references>
      </pivotArea>
    </chartFormat>
    <chartFormat chart="19" format="3" series="1">
      <pivotArea type="data" outline="0" fieldPosition="0">
        <references count="2">
          <reference field="4294967294" count="1" selected="0">
            <x v="0"/>
          </reference>
          <reference field="0" count="1" selected="0">
            <x v="3"/>
          </reference>
        </references>
      </pivotArea>
    </chartFormat>
    <chartFormat chart="23" format="8" series="1">
      <pivotArea type="data" outline="0" fieldPosition="0">
        <references count="2">
          <reference field="4294967294" count="1" selected="0">
            <x v="0"/>
          </reference>
          <reference field="0" count="1" selected="0">
            <x v="0"/>
          </reference>
        </references>
      </pivotArea>
    </chartFormat>
    <chartFormat chart="23" format="9" series="1">
      <pivotArea type="data" outline="0" fieldPosition="0">
        <references count="2">
          <reference field="4294967294" count="1" selected="0">
            <x v="0"/>
          </reference>
          <reference field="0" count="1" selected="0">
            <x v="1"/>
          </reference>
        </references>
      </pivotArea>
    </chartFormat>
    <chartFormat chart="23" format="10" series="1">
      <pivotArea type="data" outline="0" fieldPosition="0">
        <references count="2">
          <reference field="4294967294" count="1" selected="0">
            <x v="0"/>
          </reference>
          <reference field="0" count="1" selected="0">
            <x v="2"/>
          </reference>
        </references>
      </pivotArea>
    </chartFormat>
    <chartFormat chart="23" format="11" series="1">
      <pivotArea type="data" outline="0" fieldPosition="0">
        <references count="2">
          <reference field="4294967294" count="1" selected="0">
            <x v="0"/>
          </reference>
          <reference field="0" count="1" selected="0">
            <x v="3"/>
          </reference>
        </references>
      </pivotArea>
    </chartFormat>
    <chartFormat chart="23" format="12" series="1">
      <pivotArea type="data" outline="0" fieldPosition="0">
        <references count="2">
          <reference field="4294967294" count="1" selected="0">
            <x v="0"/>
          </reference>
          <reference field="0" count="1" selected="0">
            <x v="4"/>
          </reference>
        </references>
      </pivotArea>
    </chartFormat>
    <chartFormat chart="19" format="4" series="1">
      <pivotArea type="data" outline="0" fieldPosition="0">
        <references count="2">
          <reference field="4294967294" count="1" selected="0">
            <x v="0"/>
          </reference>
          <reference field="0" count="1" selected="0">
            <x v="4"/>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_NGN"/>
    <pivotHierarchy dragToData="1" caption="StdDev of Salary_NGN"/>
    <pivotHierarchy dragToData="1" caption="Max of Salary_NGN"/>
    <pivotHierarchy dragToData="1"/>
    <pivotHierarchy dragToData="1" caption="Min of Salary_NGN"/>
    <pivotHierarchy dragToData="1" caption="Var of Salary_NGN"/>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5094A99-53F5-4B88-A64F-750F45D0C23F}" name="PivotTable16"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3:F38" firstHeaderRow="1" firstDataRow="2" firstDataCol="1"/>
  <pivotFields count="4">
    <pivotField axis="axisCol" allDrilled="1" subtotalTop="0" showAll="0" dataSourceSort="1" defaultSubtotal="0" defaultAttributeDrillState="1">
      <items count="5">
        <item s="1" x="0"/>
        <item s="1" x="1"/>
        <item s="1" x="2"/>
        <item s="1" x="3"/>
        <item x="4"/>
      </items>
    </pivotField>
    <pivotField axis="axisRow" allDrilled="1" subtotalTop="0" showAll="0" defaultSubtotal="0" defaultAttributeDrillState="1">
      <items count="3">
        <item s="1" x="1"/>
        <item s="1" x="0"/>
        <item s="1" x="2"/>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Fields count="1">
    <field x="0"/>
  </colFields>
  <colItems count="5">
    <i>
      <x/>
    </i>
    <i>
      <x v="1"/>
    </i>
    <i>
      <x v="2"/>
    </i>
    <i>
      <x v="3"/>
    </i>
    <i t="grand">
      <x/>
    </i>
  </colItems>
  <dataFields count="1">
    <dataField name="Count of Employee_ID" fld="2" subtotal="count" baseField="0" baseItem="0" numFmtId="1"/>
  </dataFields>
  <formats count="1">
    <format dxfId="2">
      <pivotArea outline="0" collapsedLevelsAreSubtotals="1" fieldPosition="0"/>
    </format>
  </formats>
  <chartFormats count="10">
    <chartFormat chart="14" format="0" series="1">
      <pivotArea type="data" outline="0" fieldPosition="0">
        <references count="2">
          <reference field="4294967294" count="1" selected="0">
            <x v="0"/>
          </reference>
          <reference field="0" count="1" selected="0">
            <x v="0"/>
          </reference>
        </references>
      </pivotArea>
    </chartFormat>
    <chartFormat chart="14" format="1" series="1">
      <pivotArea type="data" outline="0" fieldPosition="0">
        <references count="2">
          <reference field="4294967294" count="1" selected="0">
            <x v="0"/>
          </reference>
          <reference field="0" count="1" selected="0">
            <x v="1"/>
          </reference>
        </references>
      </pivotArea>
    </chartFormat>
    <chartFormat chart="14" format="2" series="1">
      <pivotArea type="data" outline="0" fieldPosition="0">
        <references count="2">
          <reference field="4294967294" count="1" selected="0">
            <x v="0"/>
          </reference>
          <reference field="0" count="1" selected="0">
            <x v="2"/>
          </reference>
        </references>
      </pivotArea>
    </chartFormat>
    <chartFormat chart="14" format="3" series="1">
      <pivotArea type="data" outline="0" fieldPosition="0">
        <references count="2">
          <reference field="4294967294" count="1" selected="0">
            <x v="0"/>
          </reference>
          <reference field="0" count="1" selected="0">
            <x v="3"/>
          </reference>
        </references>
      </pivotArea>
    </chartFormat>
    <chartFormat chart="18" format="8" series="1">
      <pivotArea type="data" outline="0" fieldPosition="0">
        <references count="2">
          <reference field="4294967294" count="1" selected="0">
            <x v="0"/>
          </reference>
          <reference field="0" count="1" selected="0">
            <x v="0"/>
          </reference>
        </references>
      </pivotArea>
    </chartFormat>
    <chartFormat chart="18" format="9" series="1">
      <pivotArea type="data" outline="0" fieldPosition="0">
        <references count="2">
          <reference field="4294967294" count="1" selected="0">
            <x v="0"/>
          </reference>
          <reference field="0" count="1" selected="0">
            <x v="1"/>
          </reference>
        </references>
      </pivotArea>
    </chartFormat>
    <chartFormat chart="18" format="10" series="1">
      <pivotArea type="data" outline="0" fieldPosition="0">
        <references count="2">
          <reference field="4294967294" count="1" selected="0">
            <x v="0"/>
          </reference>
          <reference field="0" count="1" selected="0">
            <x v="2"/>
          </reference>
        </references>
      </pivotArea>
    </chartFormat>
    <chartFormat chart="18" format="11" series="1">
      <pivotArea type="data" outline="0" fieldPosition="0">
        <references count="2">
          <reference field="4294967294" count="1" selected="0">
            <x v="0"/>
          </reference>
          <reference field="0" count="1" selected="0">
            <x v="3"/>
          </reference>
        </references>
      </pivotArea>
    </chartFormat>
    <chartFormat chart="18" format="12" series="1">
      <pivotArea type="data" outline="0" fieldPosition="0">
        <references count="2">
          <reference field="4294967294" count="1" selected="0">
            <x v="0"/>
          </reference>
          <reference field="0" count="1" selected="0">
            <x v="4"/>
          </reference>
        </references>
      </pivotArea>
    </chartFormat>
    <chartFormat chart="14" format="4" series="1">
      <pivotArea type="data" outline="0" fieldPosition="0">
        <references count="2">
          <reference field="4294967294" count="1" selected="0">
            <x v="0"/>
          </reference>
          <reference field="0" count="1" selected="0">
            <x v="4"/>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_NGN"/>
    <pivotHierarchy dragToData="1" caption="StdDev of Salary_NGN"/>
    <pivotHierarchy dragToData="1" caption="Max of Salary_NGN"/>
    <pivotHierarchy dragToData="1"/>
    <pivotHierarchy dragToData="1" caption="Min of Salary_NGN"/>
    <pivotHierarchy dragToData="1" caption="Var of Salary_NGN"/>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F972CF-9FC9-435C-872E-11AD062CFADB}" name="PivotTable1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24:B30" firstHeaderRow="1" firstDataRow="1" firstDataCol="1"/>
  <pivotFields count="4">
    <pivotField allDrilled="1" subtotalTop="0" showAll="0" dataSourceSort="1" defaultSubtotal="0" defaultAttributeDrillState="1"/>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6">
    <i>
      <x v="4"/>
    </i>
    <i>
      <x/>
    </i>
    <i>
      <x v="2"/>
    </i>
    <i>
      <x v="1"/>
    </i>
    <i>
      <x v="3"/>
    </i>
    <i t="grand">
      <x/>
    </i>
  </rowItems>
  <colItems count="1">
    <i/>
  </colItems>
  <dataFields count="1">
    <dataField name="Max of Salary_NGN" fld="2" subtotal="max" baseField="1" baseItem="4"/>
  </dataFields>
  <formats count="1">
    <format dxfId="3">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4" level="1">
        <member name="[Range].[Performance_Rating].&amp;[Average]"/>
        <member name="[Range].[Performance_Rating].&amp;[Excellent]"/>
        <member name="[Range].[Performance_Rating].&amp;[Good]"/>
        <member name="[Range].[Performance_Rating].&amp;[Poor]"/>
      </members>
    </pivotHierarchy>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_NGN"/>
    <pivotHierarchy dragToData="1" caption="StdDev of Salary_NGN"/>
    <pivotHierarchy dragToData="1" caption="Max of Salary_NGN"/>
    <pivotHierarchy dragToData="1"/>
    <pivotHierarchy dragToData="1" caption="Min of Salary_NGN"/>
    <pivotHierarchy dragToData="1" caption="Var of Salary_NGN"/>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F78AC36-ED84-4585-9FC1-358B77D7AD4F}" name="PivotTable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6:B21" firstHeaderRow="1" firstDataRow="1" firstDataCol="1"/>
  <pivotFields count="3">
    <pivotField axis="axisRow" allDrilled="1" subtotalTop="0" showAll="0" dataSourceSort="1" defaultSubtotal="0" defaultAttributeDrillState="1">
      <items count="4">
        <item s="1" x="0"/>
        <item s="1" x="1"/>
        <item s="1" x="2"/>
        <item s="1"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Employee_ID" fld="1" subtotal="count" baseField="0" baseItem="0" numFmtId="1"/>
  </dataFields>
  <formats count="1">
    <format dxfId="4">
      <pivotArea outline="0" collapsedLevelsAreSubtotals="1" fieldPosition="0"/>
    </format>
  </formats>
  <chartFormats count="10">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0" count="1" selected="0">
            <x v="3"/>
          </reference>
        </references>
      </pivotArea>
    </chartFormat>
    <chartFormat chart="11" format="2">
      <pivotArea type="data" outline="0" fieldPosition="0">
        <references count="2">
          <reference field="4294967294" count="1" selected="0">
            <x v="0"/>
          </reference>
          <reference field="0" count="1" selected="0">
            <x v="2"/>
          </reference>
        </references>
      </pivotArea>
    </chartFormat>
    <chartFormat chart="11" format="3">
      <pivotArea type="data" outline="0" fieldPosition="0">
        <references count="2">
          <reference field="4294967294" count="1" selected="0">
            <x v="0"/>
          </reference>
          <reference field="0" count="1" selected="0">
            <x v="1"/>
          </reference>
        </references>
      </pivotArea>
    </chartFormat>
    <chartFormat chart="11" format="4">
      <pivotArea type="data" outline="0" fieldPosition="0">
        <references count="2">
          <reference field="4294967294" count="1" selected="0">
            <x v="0"/>
          </reference>
          <reference field="0" count="1" selected="0">
            <x v="0"/>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0" count="1" selected="0">
            <x v="0"/>
          </reference>
        </references>
      </pivotArea>
    </chartFormat>
    <chartFormat chart="15" format="12">
      <pivotArea type="data" outline="0" fieldPosition="0">
        <references count="2">
          <reference field="4294967294" count="1" selected="0">
            <x v="0"/>
          </reference>
          <reference field="0" count="1" selected="0">
            <x v="1"/>
          </reference>
        </references>
      </pivotArea>
    </chartFormat>
    <chartFormat chart="15" format="13">
      <pivotArea type="data" outline="0" fieldPosition="0">
        <references count="2">
          <reference field="4294967294" count="1" selected="0">
            <x v="0"/>
          </reference>
          <reference field="0" count="1" selected="0">
            <x v="2"/>
          </reference>
        </references>
      </pivotArea>
    </chartFormat>
    <chartFormat chart="15" format="14">
      <pivotArea type="data" outline="0" fieldPosition="0">
        <references count="2">
          <reference field="4294967294" count="1" selected="0">
            <x v="0"/>
          </reference>
          <reference field="0" count="1" selected="0">
            <x v="3"/>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857E82C-D8ED-4F22-AC86-5ECF37A9601D}" name="Pivo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B13" firstHeaderRow="1" firstDataRow="1" firstDataCol="1"/>
  <pivotFields count="4">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4"/>
    </i>
    <i>
      <x v="2"/>
    </i>
    <i>
      <x v="3"/>
    </i>
    <i>
      <x v="7"/>
    </i>
    <i>
      <x v="6"/>
    </i>
    <i>
      <x v="8"/>
    </i>
    <i>
      <x v="5"/>
    </i>
    <i>
      <x v="1"/>
    </i>
    <i>
      <x v="9"/>
    </i>
    <i t="grand">
      <x/>
    </i>
  </rowItems>
  <colItems count="1">
    <i/>
  </colItems>
  <dataFields count="1">
    <dataField name="Average of Salary_NGN" fld="1" subtotal="average" baseField="0" baseItem="0" numFmtId="44"/>
  </dataFields>
  <formats count="1">
    <format dxfId="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4" level="1">
        <member name="[Range].[Performance_Rating].&amp;[Average]"/>
        <member name="[Range].[Performance_Rating].&amp;[Excellent]"/>
        <member name="[Range].[Performance_Rating].&amp;[Good]"/>
        <member name="[Range].[Performance_Rating].&amp;[Poor]"/>
      </members>
    </pivotHierarchy>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Salary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_Raw_Data!$A$1:$S$986">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0207DB5-4B65-48F6-BC67-E48D163FA15F}" sourceName="[Range].[Department]">
  <pivotTables>
    <pivotTable tabId="2" name="PivotTable1"/>
    <pivotTable tabId="2" name="PivotTable2"/>
    <pivotTable tabId="2" name="PivotTable3"/>
    <pivotTable tabId="2" name="PivotTable4"/>
    <pivotTable tabId="2" name="PivotTable5"/>
    <pivotTable tabId="2" name="PivotTable6"/>
  </pivotTables>
  <data>
    <olap pivotCacheId="1398179626">
      <levels count="2">
        <level uniqueName="[Range].[Department].[(All)]" sourceCaption="(All)" count="0"/>
        <level uniqueName="[Range].[Department].[Department]" sourceCaption="Department" count="10">
          <ranges>
            <range startItem="0">
              <i n="[Range].[Department].&amp;[Customer Service]" c="Customer Service"/>
              <i n="[Range].[Department].&amp;[Finance]" c="Finance"/>
              <i n="[Range].[Department].&amp;[Human Resources]" c="Human Resources"/>
              <i n="[Range].[Department].&amp;[Information Technology]" c="Information Technology"/>
              <i n="[Range].[Department].&amp;[Legal]" c="Legal"/>
              <i n="[Range].[Department].&amp;[Logistics]" c="Logistics"/>
              <i n="[Range].[Department].&amp;[Marketing]" c="Marketing"/>
              <i n="[Range].[Department].&amp;[Operations]" c="Operations"/>
              <i n="[Range].[Department].&amp;[Procurement]" c="Procurement"/>
              <i n="[Range].[Department].&amp;[Sales]" c="Sales"/>
            </range>
          </ranges>
        </level>
      </levels>
      <selections count="1">
        <selection n="[Range].[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Status" xr10:uid="{C2524398-A40B-4E6F-BAB6-DC9388BE34C1}" sourceName="[Range].[Employment_Status]">
  <pivotTables>
    <pivotTable tabId="2" name="PivotTable1"/>
    <pivotTable tabId="2" name="PivotTable2"/>
    <pivotTable tabId="2" name="PivotTable3"/>
    <pivotTable tabId="2" name="PivotTable4"/>
    <pivotTable tabId="2" name="PivotTable5"/>
    <pivotTable tabId="2" name="PivotTable6"/>
  </pivotTables>
  <data>
    <olap pivotCacheId="1398179626">
      <levels count="2">
        <level uniqueName="[Range].[Employment_Status].[(All)]" sourceCaption="(All)" count="0"/>
        <level uniqueName="[Range].[Employment_Status].[Employment_Status]" sourceCaption="Employment_Status" count="4">
          <ranges>
            <range startItem="0">
              <i n="[Range].[Employment_Status].&amp;[Contract]" c="Contract"/>
              <i n="[Range].[Employment_Status].&amp;[Full Time]" c="Full Time"/>
              <i n="[Range].[Employment_Status].&amp;[Intern]" c="Intern"/>
              <i n="[Range].[Employment_Status].&amp;[Part Time]" c="Part Time"/>
            </range>
          </ranges>
        </level>
      </levels>
      <selections count="1">
        <selection n="[Range].[Employment_Statu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6E78C7-28C2-4B92-A124-D6117AA874B3}" sourceName="[Range].[Gender]">
  <pivotTables>
    <pivotTable tabId="2" name="PivotTable1"/>
    <pivotTable tabId="2" name="PivotTable2"/>
    <pivotTable tabId="2" name="PivotTable3"/>
    <pivotTable tabId="2" name="PivotTable4"/>
    <pivotTable tabId="2" name="PivotTable5"/>
    <pivotTable tabId="2" name="PivotTable6"/>
  </pivotTables>
  <data>
    <olap pivotCacheId="1398179626">
      <levels count="2">
        <level uniqueName="[Range].[Gender].[(All)]" sourceCaption="(All)" count="0"/>
        <level uniqueName="[Range].[Gender].[Gender]" sourceCaption="Gender" count="2">
          <ranges>
            <range startItem="0">
              <i n="[Range].[Gender].&amp;[Female]" c="Female"/>
              <i n="[Range].[Gender].&amp;[Male]" c="Male"/>
            </range>
          </ranges>
        </level>
      </levels>
      <selections count="1">
        <selection n="[Range].[Gend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620A161C-74F0-4C0E-81A4-D47DEE644690}" sourceName="[Range].[Department]">
  <pivotTables>
    <pivotTable tabId="5" name="PivotTable7"/>
    <pivotTable tabId="5" name="PivotTable15"/>
    <pivotTable tabId="5" name="PivotTable16"/>
    <pivotTable tabId="5" name="PivotTable17"/>
    <pivotTable tabId="5" name="PivotTable18"/>
    <pivotTable tabId="5" name="PivotTable8"/>
  </pivotTables>
  <data>
    <olap pivotCacheId="1398179626">
      <levels count="2">
        <level uniqueName="[Range].[Department].[(All)]" sourceCaption="(All)" count="0"/>
        <level uniqueName="[Range].[Department].[Department]" sourceCaption="Department" count="10">
          <ranges>
            <range startItem="0">
              <i n="[Range].[Department].&amp;[Customer Service]" c="Customer Service"/>
              <i n="[Range].[Department].&amp;[Finance]" c="Finance"/>
              <i n="[Range].[Department].&amp;[Human Resources]" c="Human Resources"/>
              <i n="[Range].[Department].&amp;[Information Technology]" c="Information Technology"/>
              <i n="[Range].[Department].&amp;[Legal]" c="Legal"/>
              <i n="[Range].[Department].&amp;[Logistics]" c="Logistics"/>
              <i n="[Range].[Department].&amp;[Marketing]" c="Marketing"/>
              <i n="[Range].[Department].&amp;[Operations]" c="Operations"/>
              <i n="[Range].[Department].&amp;[Procurement]" c="Procurement"/>
              <i n="[Range].[Department].&amp;[Sales]" c="Sales"/>
            </range>
          </ranges>
        </level>
      </levels>
      <selections count="1">
        <selection n="[Range].[Department].[All]"/>
      </selections>
    </olap>
  </data>
  <extLst>
    <x:ext xmlns:x15="http://schemas.microsoft.com/office/spreadsheetml/2010/11/main" uri="{470722E0-AACD-4C17-9CDC-17EF765DBC7E}">
      <x15:slicerCacheHideItemsWithNoData count="1">
        <x15:slicerCacheOlapLevelName uniqueName="[Range].[Department].[Department]"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D9725694-F06E-4385-BC77-83F893CC7FDA}" sourceName="[Range].[Gender]">
  <pivotTables>
    <pivotTable tabId="5" name="PivotTable7"/>
    <pivotTable tabId="5" name="PivotTable15"/>
    <pivotTable tabId="5" name="PivotTable16"/>
    <pivotTable tabId="5" name="PivotTable17"/>
    <pivotTable tabId="5" name="PivotTable18"/>
    <pivotTable tabId="5" name="PivotTable8"/>
  </pivotTables>
  <data>
    <olap pivotCacheId="1398179626">
      <levels count="2">
        <level uniqueName="[Range].[Gender].[(All)]" sourceCaption="(All)" count="0"/>
        <level uniqueName="[Range].[Gender].[Gender]" sourceCaption="Gender" count="2">
          <ranges>
            <range startItem="0">
              <i n="[Range].[Gender].&amp;[Female]" c="Female"/>
              <i n="[Range].[Gender].&amp;[Male]" c="Male"/>
            </range>
          </ranges>
        </level>
      </levels>
      <selections count="1">
        <selection n="[Range].[Gender].[All]"/>
      </selections>
    </olap>
  </data>
  <extLst>
    <x:ext xmlns:x15="http://schemas.microsoft.com/office/spreadsheetml/2010/11/main" uri="{470722E0-AACD-4C17-9CDC-17EF765DBC7E}">
      <x15:slicerCacheHideItemsWithNoData count="1">
        <x15:slicerCacheOlapLevelName uniqueName="[Range].[Gender].[Gender]"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Status1" xr10:uid="{C7087C55-965C-4E96-8F8E-0BE54A2D5F41}" sourceName="[Range].[Employment_Status]">
  <pivotTables>
    <pivotTable tabId="5" name="PivotTable7"/>
    <pivotTable tabId="5" name="PivotTable15"/>
    <pivotTable tabId="5" name="PivotTable16"/>
    <pivotTable tabId="5" name="PivotTable17"/>
    <pivotTable tabId="5" name="PivotTable18"/>
    <pivotTable tabId="5" name="PivotTable8"/>
  </pivotTables>
  <data>
    <olap pivotCacheId="1398179626">
      <levels count="2">
        <level uniqueName="[Range].[Employment_Status].[(All)]" sourceCaption="(All)" count="0"/>
        <level uniqueName="[Range].[Employment_Status].[Employment_Status]" sourceCaption="Employment_Status" count="4">
          <ranges>
            <range startItem="0">
              <i n="[Range].[Employment_Status].&amp;[Contract]" c="Contract"/>
              <i n="[Range].[Employment_Status].&amp;[Full Time]" c="Full Time"/>
              <i n="[Range].[Employment_Status].&amp;[Intern]" c="Intern"/>
              <i n="[Range].[Employment_Status].&amp;[Part Time]" c="Part Time"/>
            </range>
          </ranges>
        </level>
      </levels>
      <selections count="1">
        <selection n="[Range].[Employment_Status].[All]"/>
      </selections>
    </olap>
  </data>
  <extLst>
    <x:ext xmlns:x15="http://schemas.microsoft.com/office/spreadsheetml/2010/11/main" uri="{470722E0-AACD-4C17-9CDC-17EF765DBC7E}">
      <x15:slicerCacheHideItemsWithNoData count="1">
        <x15:slicerCacheOlapLevelName uniqueName="[Range].[Employment_Status].[Employment_Status]"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A02E9DFD-B3FE-45E9-8AC1-57A8EDB263FC}" cache="Slicer_Department" caption="Department" startItem="2" showCaption="0" level="1" style="SlicerStyleDark5" rowHeight="234950"/>
  <slicer name="Employment_Status" xr10:uid="{0A1DE057-662E-48DB-BFF1-D5B228FA5A0F}" cache="Slicer_Employment_Status" caption="Employment_Status" showCaption="0" level="1" style="SlicerStyleDark5" rowHeight="234950"/>
  <slicer name="Gender" xr10:uid="{79A22842-356A-4178-9693-35E3DE94CB1C}" cache="Slicer_Gender" caption="Gender" showCaption="0" level="1" style="SlicerStyleDark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BEC8D61A-A3D0-4625-9896-206222107789}" cache="Slicer_Department" caption="Department" startItem="4" level="1" style="Slicer Style 1" rowHeight="216000"/>
  <slicer name="Employment_Status 1" xr10:uid="{1BDA514A-24A7-4593-BB60-B26EC211C37B}" cache="Slicer_Employment_Status" caption="Employment_Status" level="1" style="Slicer Style 1" rowHeight="180000"/>
  <slicer name="Gender 1" xr10:uid="{92215F0A-C506-461E-B8F5-A0C3BB98628F}" cache="Slicer_Gender" caption="Gender" columnCount="2" level="1" style="Slicer Style 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3" xr10:uid="{85C2D1BC-BF5E-4726-B238-464CF72BF8D6}" cache="Slicer_Department1" caption="Department" startItem="2" level="1" style="Slicer Style 1" rowHeight="216000"/>
  <slicer name="Gender 3" xr10:uid="{0888CFD1-9B5F-472B-A5E8-5E8D61EC5AF4}" cache="Slicer_Gender1" caption="Gender" columnCount="2" level="1" style="Slicer Style 1" rowHeight="234950"/>
  <slicer name="Employment_Status 3" xr10:uid="{53814F45-9505-44F5-98B1-C61B2C3F1997}" cache="Slicer_Employment_Status1" caption="Employment_Status" level="1" style="Slicer Style 1" rowHeight="216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87EA209D-622C-4639-BB8D-0FA463B8013B}" cache="Slicer_Department1" caption="Department" level="1" rowHeight="234950"/>
  <slicer name="Gender 2" xr10:uid="{6B4C2776-CAB4-40F0-886A-D3A82EC0F8D3}" cache="Slicer_Gender1" caption="Gender" level="1" rowHeight="234950"/>
  <slicer name="Employment_Status 2" xr10:uid="{89A69B8B-173C-44B2-9419-2B7DE3BC41DB}" cache="Slicer_Employment_Status1" caption="Employment_Status" level="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ivotTable" Target="../pivotTables/pivotTable9.xml"/><Relationship Id="rId7" Type="http://schemas.openxmlformats.org/officeDocument/2006/relationships/drawing" Target="../drawings/drawing4.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986"/>
  <sheetViews>
    <sheetView topLeftCell="I1" workbookViewId="0">
      <pane ySplit="1" topLeftCell="A966" activePane="bottomLeft" state="frozen"/>
      <selection pane="bottomLeft" activeCell="L989" sqref="L989"/>
    </sheetView>
  </sheetViews>
  <sheetFormatPr defaultRowHeight="14.4" x14ac:dyDescent="0.3"/>
  <cols>
    <col min="1" max="1" width="14.109375" customWidth="1"/>
    <col min="2" max="3" width="14" customWidth="1"/>
    <col min="4" max="4" width="10" customWidth="1"/>
    <col min="5" max="5" width="8" customWidth="1"/>
    <col min="6" max="6" width="16.5546875" bestFit="1" customWidth="1"/>
    <col min="7" max="7" width="30" customWidth="1"/>
    <col min="8" max="8" width="18" customWidth="1"/>
    <col min="9" max="9" width="22" customWidth="1"/>
    <col min="10" max="10" width="28" customWidth="1"/>
    <col min="11" max="11" width="20.33203125" customWidth="1"/>
    <col min="12" max="12" width="17.33203125" style="1" customWidth="1"/>
    <col min="13" max="14" width="15" style="2" customWidth="1"/>
    <col min="15" max="15" width="18" customWidth="1"/>
    <col min="16" max="16" width="16" customWidth="1"/>
    <col min="17" max="17" width="18" customWidth="1"/>
    <col min="18" max="18" width="16" customWidth="1"/>
    <col min="19" max="19" width="18.33203125" customWidth="1"/>
  </cols>
  <sheetData>
    <row r="1" spans="1:19" ht="30" customHeight="1" x14ac:dyDescent="0.3">
      <c r="A1" s="3" t="s">
        <v>0</v>
      </c>
      <c r="B1" s="4" t="s">
        <v>1</v>
      </c>
      <c r="C1" s="4" t="s">
        <v>2</v>
      </c>
      <c r="D1" s="4" t="s">
        <v>3</v>
      </c>
      <c r="E1" s="4" t="s">
        <v>4</v>
      </c>
      <c r="F1" s="4" t="s">
        <v>2944</v>
      </c>
      <c r="G1" s="4" t="s">
        <v>5</v>
      </c>
      <c r="H1" s="4" t="s">
        <v>6</v>
      </c>
      <c r="I1" s="4" t="s">
        <v>7</v>
      </c>
      <c r="J1" s="4" t="s">
        <v>8</v>
      </c>
      <c r="K1" s="4" t="s">
        <v>9</v>
      </c>
      <c r="L1" s="4" t="s">
        <v>10</v>
      </c>
      <c r="M1" s="6" t="s">
        <v>11</v>
      </c>
      <c r="N1" s="6" t="s">
        <v>2942</v>
      </c>
      <c r="O1" s="5" t="s">
        <v>12</v>
      </c>
      <c r="P1" s="5" t="s">
        <v>13</v>
      </c>
      <c r="Q1" s="5" t="s">
        <v>14</v>
      </c>
      <c r="R1" s="5" t="s">
        <v>15</v>
      </c>
      <c r="S1" s="5" t="s">
        <v>2943</v>
      </c>
    </row>
    <row r="2" spans="1:19" x14ac:dyDescent="0.3">
      <c r="A2" t="s">
        <v>16</v>
      </c>
      <c r="B2" t="s">
        <v>17</v>
      </c>
      <c r="C2" t="s">
        <v>18</v>
      </c>
      <c r="D2" t="s">
        <v>24</v>
      </c>
      <c r="E2">
        <v>28</v>
      </c>
      <c r="F2" t="s">
        <v>2945</v>
      </c>
      <c r="G2" t="s">
        <v>19</v>
      </c>
      <c r="H2" t="s">
        <v>2472</v>
      </c>
      <c r="I2" t="s">
        <v>368</v>
      </c>
      <c r="J2" t="s">
        <v>20</v>
      </c>
      <c r="K2" t="s">
        <v>48</v>
      </c>
      <c r="L2" s="1">
        <v>42919</v>
      </c>
      <c r="M2" s="2">
        <v>226316</v>
      </c>
      <c r="N2" s="2" t="s">
        <v>2948</v>
      </c>
      <c r="O2" t="s">
        <v>130</v>
      </c>
      <c r="P2" t="s">
        <v>21</v>
      </c>
      <c r="Q2" t="s">
        <v>72</v>
      </c>
      <c r="R2">
        <v>8.9</v>
      </c>
      <c r="S2" t="s">
        <v>2951</v>
      </c>
    </row>
    <row r="3" spans="1:19" x14ac:dyDescent="0.3">
      <c r="A3" t="s">
        <v>22</v>
      </c>
      <c r="B3" t="s">
        <v>17</v>
      </c>
      <c r="C3" t="s">
        <v>23</v>
      </c>
      <c r="D3" t="s">
        <v>24</v>
      </c>
      <c r="E3">
        <v>24</v>
      </c>
      <c r="F3" t="s">
        <v>2945</v>
      </c>
      <c r="G3" t="s">
        <v>25</v>
      </c>
      <c r="H3" t="s">
        <v>26</v>
      </c>
      <c r="I3" t="s">
        <v>485</v>
      </c>
      <c r="J3" t="s">
        <v>27</v>
      </c>
      <c r="K3" t="s">
        <v>28</v>
      </c>
      <c r="L3" s="1">
        <v>44890</v>
      </c>
      <c r="M3" s="2">
        <v>152933</v>
      </c>
      <c r="N3" s="2" t="s">
        <v>2949</v>
      </c>
      <c r="O3" t="s">
        <v>253</v>
      </c>
      <c r="P3" t="s">
        <v>353</v>
      </c>
      <c r="Q3" t="s">
        <v>65</v>
      </c>
      <c r="R3">
        <v>3.5</v>
      </c>
      <c r="S3" t="s">
        <v>2952</v>
      </c>
    </row>
    <row r="4" spans="1:19" x14ac:dyDescent="0.3">
      <c r="A4" t="s">
        <v>29</v>
      </c>
      <c r="B4" t="s">
        <v>30</v>
      </c>
      <c r="C4" t="s">
        <v>31</v>
      </c>
      <c r="D4" t="s">
        <v>24</v>
      </c>
      <c r="E4">
        <v>30</v>
      </c>
      <c r="F4" t="s">
        <v>2945</v>
      </c>
      <c r="G4" t="s">
        <v>32</v>
      </c>
      <c r="H4" t="s">
        <v>33</v>
      </c>
      <c r="I4" t="s">
        <v>592</v>
      </c>
      <c r="J4" t="s">
        <v>34</v>
      </c>
      <c r="K4" t="s">
        <v>35</v>
      </c>
      <c r="L4" s="1">
        <v>42590</v>
      </c>
      <c r="M4" s="2">
        <v>357746</v>
      </c>
      <c r="N4" s="2" t="s">
        <v>2948</v>
      </c>
      <c r="O4" t="s">
        <v>130</v>
      </c>
      <c r="P4" t="s">
        <v>152</v>
      </c>
      <c r="Q4" t="s">
        <v>72</v>
      </c>
      <c r="R4">
        <v>9.8000000000000007</v>
      </c>
      <c r="S4" t="s">
        <v>2951</v>
      </c>
    </row>
    <row r="5" spans="1:19" x14ac:dyDescent="0.3">
      <c r="A5" t="s">
        <v>36</v>
      </c>
      <c r="B5" t="s">
        <v>37</v>
      </c>
      <c r="C5" t="s">
        <v>38</v>
      </c>
      <c r="D5" t="s">
        <v>45</v>
      </c>
      <c r="E5">
        <v>34</v>
      </c>
      <c r="F5" t="s">
        <v>2946</v>
      </c>
      <c r="G5" t="s">
        <v>39</v>
      </c>
      <c r="H5" t="s">
        <v>2473</v>
      </c>
      <c r="I5" t="s">
        <v>271</v>
      </c>
      <c r="J5" t="s">
        <v>40</v>
      </c>
      <c r="K5" t="s">
        <v>28</v>
      </c>
      <c r="L5" s="1">
        <v>44622</v>
      </c>
      <c r="M5" s="2">
        <v>612323</v>
      </c>
      <c r="N5" s="2" t="s">
        <v>2950</v>
      </c>
      <c r="O5" t="s">
        <v>41</v>
      </c>
      <c r="P5" t="s">
        <v>353</v>
      </c>
      <c r="Q5" t="s">
        <v>65</v>
      </c>
      <c r="R5">
        <v>4.2</v>
      </c>
      <c r="S5" t="s">
        <v>2952</v>
      </c>
    </row>
    <row r="6" spans="1:19" x14ac:dyDescent="0.3">
      <c r="A6" t="s">
        <v>42</v>
      </c>
      <c r="B6" t="s">
        <v>43</v>
      </c>
      <c r="C6" t="s">
        <v>44</v>
      </c>
      <c r="D6" t="s">
        <v>45</v>
      </c>
      <c r="E6">
        <v>26</v>
      </c>
      <c r="F6" t="s">
        <v>2945</v>
      </c>
      <c r="G6" t="s">
        <v>46</v>
      </c>
      <c r="H6" t="s">
        <v>2369</v>
      </c>
      <c r="I6" t="s">
        <v>368</v>
      </c>
      <c r="J6" t="s">
        <v>47</v>
      </c>
      <c r="K6" t="s">
        <v>48</v>
      </c>
      <c r="L6" s="1">
        <v>42907</v>
      </c>
      <c r="M6" s="2">
        <v>87540</v>
      </c>
      <c r="N6" s="2" t="s">
        <v>2949</v>
      </c>
      <c r="O6" t="s">
        <v>253</v>
      </c>
      <c r="P6" t="s">
        <v>205</v>
      </c>
      <c r="Q6" t="s">
        <v>158</v>
      </c>
      <c r="R6">
        <v>8.9</v>
      </c>
      <c r="S6" t="s">
        <v>2951</v>
      </c>
    </row>
    <row r="7" spans="1:19" x14ac:dyDescent="0.3">
      <c r="A7" t="s">
        <v>49</v>
      </c>
      <c r="B7" t="s">
        <v>43</v>
      </c>
      <c r="C7" t="s">
        <v>50</v>
      </c>
      <c r="D7" t="s">
        <v>45</v>
      </c>
      <c r="E7">
        <v>22</v>
      </c>
      <c r="F7" t="s">
        <v>2945</v>
      </c>
      <c r="G7" t="s">
        <v>51</v>
      </c>
      <c r="H7" t="s">
        <v>52</v>
      </c>
      <c r="I7" t="s">
        <v>53</v>
      </c>
      <c r="J7" t="s">
        <v>54</v>
      </c>
      <c r="K7" t="s">
        <v>48</v>
      </c>
      <c r="L7" s="1">
        <v>44676</v>
      </c>
      <c r="M7" s="2">
        <v>646847</v>
      </c>
      <c r="N7" s="2" t="s">
        <v>2950</v>
      </c>
      <c r="O7" t="s">
        <v>41</v>
      </c>
      <c r="P7" t="s">
        <v>152</v>
      </c>
      <c r="Q7" t="s">
        <v>244</v>
      </c>
      <c r="R7">
        <v>4.0999999999999996</v>
      </c>
      <c r="S7" t="s">
        <v>2952</v>
      </c>
    </row>
    <row r="8" spans="1:19" x14ac:dyDescent="0.3">
      <c r="A8" t="s">
        <v>55</v>
      </c>
      <c r="B8" t="s">
        <v>56</v>
      </c>
      <c r="C8" t="s">
        <v>57</v>
      </c>
      <c r="D8" t="s">
        <v>24</v>
      </c>
      <c r="E8">
        <v>24</v>
      </c>
      <c r="F8" t="s">
        <v>2945</v>
      </c>
      <c r="G8" t="s">
        <v>58</v>
      </c>
      <c r="H8" t="s">
        <v>2474</v>
      </c>
      <c r="I8" t="s">
        <v>235</v>
      </c>
      <c r="J8" t="s">
        <v>59</v>
      </c>
      <c r="K8" t="s">
        <v>71</v>
      </c>
      <c r="L8" s="1">
        <v>44338</v>
      </c>
      <c r="M8" s="2">
        <v>338175</v>
      </c>
      <c r="N8" s="2" t="s">
        <v>2948</v>
      </c>
      <c r="O8" t="s">
        <v>130</v>
      </c>
      <c r="P8" t="s">
        <v>21</v>
      </c>
      <c r="Q8" t="s">
        <v>244</v>
      </c>
      <c r="R8">
        <v>5</v>
      </c>
      <c r="S8" t="s">
        <v>2952</v>
      </c>
    </row>
    <row r="9" spans="1:19" x14ac:dyDescent="0.3">
      <c r="A9" t="s">
        <v>60</v>
      </c>
      <c r="B9" t="s">
        <v>61</v>
      </c>
      <c r="C9" t="s">
        <v>62</v>
      </c>
      <c r="D9" t="s">
        <v>24</v>
      </c>
      <c r="E9">
        <v>57</v>
      </c>
      <c r="F9" t="s">
        <v>2947</v>
      </c>
      <c r="G9" t="s">
        <v>63</v>
      </c>
      <c r="H9" t="s">
        <v>2369</v>
      </c>
      <c r="I9" t="s">
        <v>100</v>
      </c>
      <c r="J9" t="s">
        <v>64</v>
      </c>
      <c r="K9" t="s">
        <v>48</v>
      </c>
      <c r="L9" s="1">
        <v>42443</v>
      </c>
      <c r="N9" s="2" t="s">
        <v>2369</v>
      </c>
      <c r="O9" t="s">
        <v>41</v>
      </c>
      <c r="P9" t="s">
        <v>205</v>
      </c>
      <c r="Q9" t="s">
        <v>65</v>
      </c>
      <c r="R9">
        <v>10.199999999999999</v>
      </c>
      <c r="S9" t="s">
        <v>2951</v>
      </c>
    </row>
    <row r="10" spans="1:19" x14ac:dyDescent="0.3">
      <c r="A10" t="s">
        <v>66</v>
      </c>
      <c r="B10" t="s">
        <v>67</v>
      </c>
      <c r="C10" t="s">
        <v>68</v>
      </c>
      <c r="D10" t="s">
        <v>45</v>
      </c>
      <c r="E10">
        <v>31</v>
      </c>
      <c r="F10" t="s">
        <v>2946</v>
      </c>
      <c r="G10" t="s">
        <v>69</v>
      </c>
      <c r="H10" t="s">
        <v>2475</v>
      </c>
      <c r="I10" t="s">
        <v>271</v>
      </c>
      <c r="J10" t="s">
        <v>70</v>
      </c>
      <c r="K10" t="s">
        <v>71</v>
      </c>
      <c r="L10" s="1">
        <v>44298</v>
      </c>
      <c r="M10" s="2">
        <v>506117</v>
      </c>
      <c r="N10" s="2" t="s">
        <v>2950</v>
      </c>
      <c r="O10" t="s">
        <v>111</v>
      </c>
      <c r="P10" t="s">
        <v>21</v>
      </c>
      <c r="Q10" t="s">
        <v>72</v>
      </c>
      <c r="R10">
        <v>5.0999999999999996</v>
      </c>
      <c r="S10" t="s">
        <v>2953</v>
      </c>
    </row>
    <row r="11" spans="1:19" x14ac:dyDescent="0.3">
      <c r="A11" t="s">
        <v>73</v>
      </c>
      <c r="B11" t="s">
        <v>74</v>
      </c>
      <c r="C11" t="s">
        <v>75</v>
      </c>
      <c r="D11" t="s">
        <v>24</v>
      </c>
      <c r="E11">
        <v>49</v>
      </c>
      <c r="F11" t="s">
        <v>2947</v>
      </c>
      <c r="G11" t="s">
        <v>76</v>
      </c>
      <c r="H11" t="s">
        <v>77</v>
      </c>
      <c r="I11" t="s">
        <v>209</v>
      </c>
      <c r="J11" t="s">
        <v>78</v>
      </c>
      <c r="K11" t="s">
        <v>35</v>
      </c>
      <c r="L11" s="1">
        <v>42449</v>
      </c>
      <c r="M11" s="2">
        <v>705550</v>
      </c>
      <c r="N11" s="2" t="s">
        <v>2950</v>
      </c>
      <c r="O11" t="s">
        <v>111</v>
      </c>
      <c r="P11" t="s">
        <v>152</v>
      </c>
      <c r="Q11" t="s">
        <v>79</v>
      </c>
      <c r="R11">
        <v>10.199999999999999</v>
      </c>
      <c r="S11" t="s">
        <v>2951</v>
      </c>
    </row>
    <row r="12" spans="1:19" x14ac:dyDescent="0.3">
      <c r="A12" t="s">
        <v>80</v>
      </c>
      <c r="B12" t="s">
        <v>81</v>
      </c>
      <c r="C12" t="s">
        <v>82</v>
      </c>
      <c r="D12" t="s">
        <v>24</v>
      </c>
      <c r="E12">
        <v>40</v>
      </c>
      <c r="F12" t="s">
        <v>2946</v>
      </c>
      <c r="G12" t="s">
        <v>83</v>
      </c>
      <c r="H12" t="s">
        <v>2369</v>
      </c>
      <c r="I12" t="s">
        <v>394</v>
      </c>
      <c r="J12" t="s">
        <v>84</v>
      </c>
      <c r="K12" t="s">
        <v>28</v>
      </c>
      <c r="M12" s="2">
        <v>398635</v>
      </c>
      <c r="N12" s="2" t="s">
        <v>2948</v>
      </c>
      <c r="O12" t="s">
        <v>216</v>
      </c>
      <c r="P12" t="s">
        <v>205</v>
      </c>
      <c r="Q12" t="s">
        <v>79</v>
      </c>
      <c r="R12">
        <v>11.4</v>
      </c>
      <c r="S12" t="s">
        <v>2951</v>
      </c>
    </row>
    <row r="13" spans="1:19" x14ac:dyDescent="0.3">
      <c r="A13" t="s">
        <v>2311</v>
      </c>
      <c r="B13" t="s">
        <v>85</v>
      </c>
      <c r="C13" t="s">
        <v>86</v>
      </c>
      <c r="D13" t="s">
        <v>45</v>
      </c>
      <c r="E13">
        <v>51</v>
      </c>
      <c r="F13" t="s">
        <v>2947</v>
      </c>
      <c r="G13" t="s">
        <v>87</v>
      </c>
      <c r="H13" t="s">
        <v>88</v>
      </c>
      <c r="I13" t="s">
        <v>235</v>
      </c>
      <c r="J13" t="s">
        <v>89</v>
      </c>
      <c r="K13" t="s">
        <v>71</v>
      </c>
      <c r="M13" s="2">
        <v>623118</v>
      </c>
      <c r="N13" s="2" t="s">
        <v>2950</v>
      </c>
      <c r="O13" t="s">
        <v>253</v>
      </c>
      <c r="P13" t="s">
        <v>90</v>
      </c>
      <c r="Q13" t="s">
        <v>72</v>
      </c>
      <c r="R13">
        <v>3.6</v>
      </c>
      <c r="S13" t="s">
        <v>2952</v>
      </c>
    </row>
    <row r="14" spans="1:19" x14ac:dyDescent="0.3">
      <c r="A14" t="s">
        <v>91</v>
      </c>
      <c r="B14" t="s">
        <v>92</v>
      </c>
      <c r="C14" t="s">
        <v>93</v>
      </c>
      <c r="D14" t="s">
        <v>45</v>
      </c>
      <c r="E14">
        <v>51</v>
      </c>
      <c r="F14" t="s">
        <v>2947</v>
      </c>
      <c r="G14" t="s">
        <v>94</v>
      </c>
      <c r="H14" t="s">
        <v>2476</v>
      </c>
      <c r="I14" t="s">
        <v>271</v>
      </c>
      <c r="J14" t="s">
        <v>95</v>
      </c>
      <c r="K14" t="s">
        <v>28</v>
      </c>
      <c r="L14" s="1">
        <v>43360</v>
      </c>
      <c r="N14" s="2" t="s">
        <v>2369</v>
      </c>
      <c r="O14" t="s">
        <v>253</v>
      </c>
      <c r="P14" t="s">
        <v>152</v>
      </c>
      <c r="Q14" t="s">
        <v>65</v>
      </c>
      <c r="R14">
        <v>7.7</v>
      </c>
      <c r="S14" t="s">
        <v>2953</v>
      </c>
    </row>
    <row r="15" spans="1:19" x14ac:dyDescent="0.3">
      <c r="A15" t="s">
        <v>96</v>
      </c>
      <c r="B15" t="s">
        <v>97</v>
      </c>
      <c r="C15" t="s">
        <v>98</v>
      </c>
      <c r="D15" t="s">
        <v>24</v>
      </c>
      <c r="E15">
        <v>35</v>
      </c>
      <c r="F15" t="s">
        <v>2946</v>
      </c>
      <c r="G15" t="s">
        <v>99</v>
      </c>
      <c r="H15" t="s">
        <v>2369</v>
      </c>
      <c r="I15" t="s">
        <v>100</v>
      </c>
      <c r="J15" t="s">
        <v>101</v>
      </c>
      <c r="K15" t="s">
        <v>71</v>
      </c>
      <c r="L15" s="1">
        <v>43557</v>
      </c>
      <c r="M15" s="2">
        <v>423254</v>
      </c>
      <c r="N15" s="2" t="s">
        <v>2948</v>
      </c>
      <c r="O15" t="s">
        <v>41</v>
      </c>
      <c r="P15" t="s">
        <v>205</v>
      </c>
      <c r="Q15" t="s">
        <v>72</v>
      </c>
      <c r="R15">
        <v>7.1</v>
      </c>
      <c r="S15" t="s">
        <v>2953</v>
      </c>
    </row>
    <row r="16" spans="1:19" x14ac:dyDescent="0.3">
      <c r="A16" t="s">
        <v>102</v>
      </c>
      <c r="B16" t="s">
        <v>103</v>
      </c>
      <c r="C16" t="s">
        <v>104</v>
      </c>
      <c r="D16" t="s">
        <v>24</v>
      </c>
      <c r="E16">
        <v>34</v>
      </c>
      <c r="F16" t="s">
        <v>2946</v>
      </c>
      <c r="G16" t="s">
        <v>105</v>
      </c>
      <c r="H16" t="s">
        <v>2369</v>
      </c>
      <c r="I16" t="s">
        <v>394</v>
      </c>
      <c r="J16" t="s">
        <v>106</v>
      </c>
      <c r="K16" t="s">
        <v>35</v>
      </c>
      <c r="L16" s="1">
        <v>43542</v>
      </c>
      <c r="M16" s="2">
        <v>495922</v>
      </c>
      <c r="N16" s="2" t="s">
        <v>2948</v>
      </c>
      <c r="O16" t="s">
        <v>111</v>
      </c>
      <c r="P16" t="s">
        <v>152</v>
      </c>
      <c r="Q16" t="s">
        <v>244</v>
      </c>
      <c r="R16">
        <v>7.2</v>
      </c>
      <c r="S16" t="s">
        <v>2953</v>
      </c>
    </row>
    <row r="17" spans="1:19" x14ac:dyDescent="0.3">
      <c r="A17" t="s">
        <v>107</v>
      </c>
      <c r="B17" t="s">
        <v>81</v>
      </c>
      <c r="C17" t="s">
        <v>108</v>
      </c>
      <c r="D17" t="s">
        <v>24</v>
      </c>
      <c r="E17">
        <v>33</v>
      </c>
      <c r="F17" t="s">
        <v>2946</v>
      </c>
      <c r="G17" t="s">
        <v>109</v>
      </c>
      <c r="H17" t="s">
        <v>2369</v>
      </c>
      <c r="I17" t="s">
        <v>592</v>
      </c>
      <c r="J17" t="s">
        <v>110</v>
      </c>
      <c r="K17" t="s">
        <v>35</v>
      </c>
      <c r="L17" s="1">
        <v>44029</v>
      </c>
      <c r="M17" s="2">
        <v>420802</v>
      </c>
      <c r="N17" s="2" t="s">
        <v>2948</v>
      </c>
      <c r="O17" t="s">
        <v>111</v>
      </c>
      <c r="P17" t="s">
        <v>90</v>
      </c>
      <c r="Q17" t="s">
        <v>244</v>
      </c>
      <c r="R17">
        <v>5.8</v>
      </c>
      <c r="S17" t="s">
        <v>2953</v>
      </c>
    </row>
    <row r="18" spans="1:19" x14ac:dyDescent="0.3">
      <c r="A18" t="s">
        <v>112</v>
      </c>
      <c r="B18" t="s">
        <v>113</v>
      </c>
      <c r="C18" t="s">
        <v>114</v>
      </c>
      <c r="D18" t="s">
        <v>45</v>
      </c>
      <c r="E18">
        <v>55</v>
      </c>
      <c r="F18" t="s">
        <v>2947</v>
      </c>
      <c r="G18" t="s">
        <v>115</v>
      </c>
      <c r="H18" t="s">
        <v>116</v>
      </c>
      <c r="I18" t="s">
        <v>100</v>
      </c>
      <c r="J18" t="s">
        <v>117</v>
      </c>
      <c r="K18" t="s">
        <v>48</v>
      </c>
      <c r="L18" s="1">
        <v>43988</v>
      </c>
      <c r="M18" s="2">
        <v>369930</v>
      </c>
      <c r="N18" s="2" t="s">
        <v>2948</v>
      </c>
      <c r="O18" t="s">
        <v>216</v>
      </c>
      <c r="P18" t="s">
        <v>353</v>
      </c>
      <c r="Q18" t="s">
        <v>158</v>
      </c>
      <c r="R18">
        <v>5.9</v>
      </c>
      <c r="S18" t="s">
        <v>2953</v>
      </c>
    </row>
    <row r="19" spans="1:19" x14ac:dyDescent="0.3">
      <c r="A19" t="s">
        <v>118</v>
      </c>
      <c r="B19" t="s">
        <v>119</v>
      </c>
      <c r="C19" t="s">
        <v>120</v>
      </c>
      <c r="D19" t="s">
        <v>24</v>
      </c>
      <c r="E19">
        <v>55</v>
      </c>
      <c r="F19" t="s">
        <v>2947</v>
      </c>
      <c r="G19" t="s">
        <v>121</v>
      </c>
      <c r="H19" t="s">
        <v>2477</v>
      </c>
      <c r="I19" t="s">
        <v>209</v>
      </c>
      <c r="J19" t="s">
        <v>122</v>
      </c>
      <c r="K19" t="s">
        <v>48</v>
      </c>
      <c r="L19" s="1">
        <v>44420</v>
      </c>
      <c r="M19" s="2">
        <v>316650</v>
      </c>
      <c r="N19" s="2" t="s">
        <v>2948</v>
      </c>
      <c r="O19" t="s">
        <v>216</v>
      </c>
      <c r="P19" t="s">
        <v>152</v>
      </c>
      <c r="Q19" t="s">
        <v>244</v>
      </c>
      <c r="R19">
        <v>4.4000000000000004</v>
      </c>
      <c r="S19" t="s">
        <v>2952</v>
      </c>
    </row>
    <row r="20" spans="1:19" x14ac:dyDescent="0.3">
      <c r="A20" t="s">
        <v>123</v>
      </c>
      <c r="B20" t="s">
        <v>124</v>
      </c>
      <c r="C20" t="s">
        <v>57</v>
      </c>
      <c r="D20" t="s">
        <v>24</v>
      </c>
      <c r="E20">
        <v>58</v>
      </c>
      <c r="F20" t="s">
        <v>2947</v>
      </c>
      <c r="G20" t="s">
        <v>2369</v>
      </c>
      <c r="H20" t="s">
        <v>2478</v>
      </c>
      <c r="I20" t="s">
        <v>368</v>
      </c>
      <c r="J20" t="s">
        <v>125</v>
      </c>
      <c r="K20" t="s">
        <v>71</v>
      </c>
      <c r="L20" s="1">
        <v>43264</v>
      </c>
      <c r="M20" s="2">
        <v>703948</v>
      </c>
      <c r="N20" s="2" t="s">
        <v>2950</v>
      </c>
      <c r="O20" t="s">
        <v>130</v>
      </c>
      <c r="P20" t="s">
        <v>90</v>
      </c>
      <c r="Q20" t="s">
        <v>72</v>
      </c>
      <c r="R20">
        <v>7.9</v>
      </c>
      <c r="S20" t="s">
        <v>2953</v>
      </c>
    </row>
    <row r="21" spans="1:19" x14ac:dyDescent="0.3">
      <c r="A21" t="s">
        <v>126</v>
      </c>
      <c r="B21" t="s">
        <v>127</v>
      </c>
      <c r="C21" t="s">
        <v>108</v>
      </c>
      <c r="D21" t="s">
        <v>24</v>
      </c>
      <c r="E21">
        <v>53</v>
      </c>
      <c r="F21" t="s">
        <v>2947</v>
      </c>
      <c r="G21" t="s">
        <v>128</v>
      </c>
      <c r="H21" t="s">
        <v>2479</v>
      </c>
      <c r="I21" t="s">
        <v>271</v>
      </c>
      <c r="J21" t="s">
        <v>129</v>
      </c>
      <c r="K21" t="s">
        <v>71</v>
      </c>
      <c r="L21" s="1">
        <v>43691</v>
      </c>
      <c r="M21" s="2">
        <v>807369</v>
      </c>
      <c r="N21" s="2" t="s">
        <v>2950</v>
      </c>
      <c r="O21" t="s">
        <v>130</v>
      </c>
      <c r="P21" t="s">
        <v>90</v>
      </c>
      <c r="Q21" t="s">
        <v>158</v>
      </c>
      <c r="R21">
        <v>6.8</v>
      </c>
      <c r="S21" t="s">
        <v>2953</v>
      </c>
    </row>
    <row r="22" spans="1:19" x14ac:dyDescent="0.3">
      <c r="A22" t="s">
        <v>131</v>
      </c>
      <c r="B22" t="s">
        <v>132</v>
      </c>
      <c r="C22" t="s">
        <v>133</v>
      </c>
      <c r="D22" t="s">
        <v>24</v>
      </c>
      <c r="E22">
        <v>53</v>
      </c>
      <c r="F22" t="s">
        <v>2947</v>
      </c>
      <c r="G22" t="s">
        <v>134</v>
      </c>
      <c r="H22" t="s">
        <v>2369</v>
      </c>
      <c r="I22" t="s">
        <v>271</v>
      </c>
      <c r="J22" t="s">
        <v>135</v>
      </c>
      <c r="K22" t="s">
        <v>35</v>
      </c>
      <c r="L22" s="1">
        <v>44658</v>
      </c>
      <c r="M22" s="2">
        <v>241450</v>
      </c>
      <c r="N22" s="2" t="s">
        <v>2948</v>
      </c>
      <c r="O22" t="s">
        <v>41</v>
      </c>
      <c r="P22" t="s">
        <v>353</v>
      </c>
      <c r="Q22" t="s">
        <v>79</v>
      </c>
      <c r="R22">
        <v>4.0999999999999996</v>
      </c>
      <c r="S22" t="s">
        <v>2952</v>
      </c>
    </row>
    <row r="23" spans="1:19" x14ac:dyDescent="0.3">
      <c r="A23" t="s">
        <v>136</v>
      </c>
      <c r="B23" t="s">
        <v>137</v>
      </c>
      <c r="C23" t="s">
        <v>82</v>
      </c>
      <c r="D23" t="s">
        <v>24</v>
      </c>
      <c r="E23">
        <v>42</v>
      </c>
      <c r="F23" t="s">
        <v>2946</v>
      </c>
      <c r="G23" t="s">
        <v>138</v>
      </c>
      <c r="H23" t="s">
        <v>139</v>
      </c>
      <c r="I23" t="s">
        <v>592</v>
      </c>
      <c r="J23" t="s">
        <v>140</v>
      </c>
      <c r="K23" t="s">
        <v>35</v>
      </c>
      <c r="L23" s="1">
        <v>43687</v>
      </c>
      <c r="M23" s="2">
        <v>125767</v>
      </c>
      <c r="N23" s="2" t="s">
        <v>2949</v>
      </c>
      <c r="O23" t="s">
        <v>253</v>
      </c>
      <c r="P23" t="s">
        <v>21</v>
      </c>
      <c r="Q23" t="s">
        <v>79</v>
      </c>
      <c r="R23">
        <v>6.8</v>
      </c>
      <c r="S23" t="s">
        <v>2953</v>
      </c>
    </row>
    <row r="24" spans="1:19" x14ac:dyDescent="0.3">
      <c r="A24" t="s">
        <v>2312</v>
      </c>
      <c r="B24" t="s">
        <v>141</v>
      </c>
      <c r="C24" t="s">
        <v>62</v>
      </c>
      <c r="D24" t="s">
        <v>45</v>
      </c>
      <c r="E24">
        <v>23</v>
      </c>
      <c r="F24" t="s">
        <v>2945</v>
      </c>
      <c r="G24" t="s">
        <v>142</v>
      </c>
      <c r="H24" t="s">
        <v>2480</v>
      </c>
      <c r="I24" t="s">
        <v>271</v>
      </c>
      <c r="J24" t="s">
        <v>143</v>
      </c>
      <c r="K24" t="s">
        <v>35</v>
      </c>
      <c r="L24" s="1">
        <v>44847</v>
      </c>
      <c r="M24" s="2">
        <v>394012</v>
      </c>
      <c r="N24" s="2" t="s">
        <v>2948</v>
      </c>
      <c r="O24" t="s">
        <v>253</v>
      </c>
      <c r="P24" t="s">
        <v>353</v>
      </c>
      <c r="Q24" t="s">
        <v>72</v>
      </c>
      <c r="R24">
        <v>3.6</v>
      </c>
      <c r="S24" t="s">
        <v>2952</v>
      </c>
    </row>
    <row r="25" spans="1:19" x14ac:dyDescent="0.3">
      <c r="A25" t="s">
        <v>144</v>
      </c>
      <c r="B25" t="s">
        <v>145</v>
      </c>
      <c r="C25" t="s">
        <v>146</v>
      </c>
      <c r="D25" t="s">
        <v>24</v>
      </c>
      <c r="E25">
        <v>58</v>
      </c>
      <c r="F25" t="s">
        <v>2947</v>
      </c>
      <c r="G25" t="s">
        <v>2417</v>
      </c>
      <c r="H25" t="s">
        <v>2481</v>
      </c>
      <c r="I25" t="s">
        <v>271</v>
      </c>
      <c r="J25" t="s">
        <v>95</v>
      </c>
      <c r="K25" t="s">
        <v>28</v>
      </c>
      <c r="L25" s="1">
        <v>44347</v>
      </c>
      <c r="M25" s="2">
        <v>456395</v>
      </c>
      <c r="N25" s="2" t="s">
        <v>2948</v>
      </c>
      <c r="O25" t="s">
        <v>130</v>
      </c>
      <c r="P25" t="s">
        <v>21</v>
      </c>
      <c r="Q25" t="s">
        <v>72</v>
      </c>
      <c r="R25">
        <v>5</v>
      </c>
      <c r="S25" t="s">
        <v>2952</v>
      </c>
    </row>
    <row r="26" spans="1:19" x14ac:dyDescent="0.3">
      <c r="A26" t="s">
        <v>147</v>
      </c>
      <c r="B26" t="s">
        <v>148</v>
      </c>
      <c r="C26" t="s">
        <v>149</v>
      </c>
      <c r="D26" t="s">
        <v>45</v>
      </c>
      <c r="E26">
        <v>51</v>
      </c>
      <c r="F26" t="s">
        <v>2947</v>
      </c>
      <c r="G26" t="s">
        <v>150</v>
      </c>
      <c r="H26" t="s">
        <v>2482</v>
      </c>
      <c r="I26" t="s">
        <v>517</v>
      </c>
      <c r="J26" t="s">
        <v>151</v>
      </c>
      <c r="K26" t="s">
        <v>48</v>
      </c>
      <c r="L26" s="1">
        <v>43392</v>
      </c>
      <c r="M26" s="2">
        <v>200764</v>
      </c>
      <c r="N26" s="2" t="s">
        <v>2948</v>
      </c>
      <c r="O26" t="s">
        <v>111</v>
      </c>
      <c r="P26" t="s">
        <v>152</v>
      </c>
      <c r="Q26" t="s">
        <v>72</v>
      </c>
      <c r="R26">
        <v>7.6</v>
      </c>
      <c r="S26" t="s">
        <v>2953</v>
      </c>
    </row>
    <row r="27" spans="1:19" x14ac:dyDescent="0.3">
      <c r="A27" t="s">
        <v>153</v>
      </c>
      <c r="B27" t="s">
        <v>154</v>
      </c>
      <c r="C27" t="s">
        <v>155</v>
      </c>
      <c r="D27" t="s">
        <v>45</v>
      </c>
      <c r="E27">
        <v>56</v>
      </c>
      <c r="F27" t="s">
        <v>2947</v>
      </c>
      <c r="G27" t="s">
        <v>156</v>
      </c>
      <c r="H27" t="s">
        <v>2483</v>
      </c>
      <c r="I27" t="s">
        <v>592</v>
      </c>
      <c r="J27" t="s">
        <v>157</v>
      </c>
      <c r="K27" t="s">
        <v>71</v>
      </c>
      <c r="L27" s="1">
        <v>44811</v>
      </c>
      <c r="M27" s="2">
        <v>859238</v>
      </c>
      <c r="N27" s="2" t="s">
        <v>2950</v>
      </c>
      <c r="O27" t="s">
        <v>253</v>
      </c>
      <c r="P27" t="s">
        <v>205</v>
      </c>
      <c r="Q27" t="s">
        <v>158</v>
      </c>
      <c r="R27">
        <v>3.8</v>
      </c>
      <c r="S27" t="s">
        <v>2952</v>
      </c>
    </row>
    <row r="28" spans="1:19" x14ac:dyDescent="0.3">
      <c r="A28" t="s">
        <v>159</v>
      </c>
      <c r="B28" t="s">
        <v>160</v>
      </c>
      <c r="C28" t="s">
        <v>161</v>
      </c>
      <c r="D28" t="s">
        <v>45</v>
      </c>
      <c r="E28">
        <v>22</v>
      </c>
      <c r="F28" t="s">
        <v>2945</v>
      </c>
      <c r="G28" t="s">
        <v>162</v>
      </c>
      <c r="H28" t="s">
        <v>2484</v>
      </c>
      <c r="I28" t="s">
        <v>235</v>
      </c>
      <c r="J28" t="s">
        <v>163</v>
      </c>
      <c r="K28" t="s">
        <v>35</v>
      </c>
      <c r="L28" s="1">
        <v>42609</v>
      </c>
      <c r="M28" s="2">
        <v>704932</v>
      </c>
      <c r="N28" s="2" t="s">
        <v>2950</v>
      </c>
      <c r="O28" t="s">
        <v>130</v>
      </c>
      <c r="P28" t="s">
        <v>152</v>
      </c>
      <c r="Q28" t="s">
        <v>158</v>
      </c>
      <c r="R28">
        <v>9.6999999999999993</v>
      </c>
      <c r="S28" t="s">
        <v>2951</v>
      </c>
    </row>
    <row r="29" spans="1:19" x14ac:dyDescent="0.3">
      <c r="A29" t="s">
        <v>164</v>
      </c>
      <c r="B29" t="s">
        <v>132</v>
      </c>
      <c r="C29" t="s">
        <v>141</v>
      </c>
      <c r="D29" t="s">
        <v>24</v>
      </c>
      <c r="E29">
        <v>57</v>
      </c>
      <c r="F29" t="s">
        <v>2947</v>
      </c>
      <c r="G29" t="s">
        <v>165</v>
      </c>
      <c r="H29" t="s">
        <v>2485</v>
      </c>
      <c r="I29" t="s">
        <v>209</v>
      </c>
      <c r="J29" t="s">
        <v>166</v>
      </c>
      <c r="K29" t="s">
        <v>48</v>
      </c>
      <c r="L29" s="1">
        <v>42521</v>
      </c>
      <c r="M29" s="2">
        <v>368375</v>
      </c>
      <c r="N29" s="2" t="s">
        <v>2948</v>
      </c>
      <c r="O29" t="s">
        <v>216</v>
      </c>
      <c r="P29" t="s">
        <v>152</v>
      </c>
      <c r="Q29" t="s">
        <v>79</v>
      </c>
      <c r="R29">
        <v>10</v>
      </c>
      <c r="S29" t="s">
        <v>2951</v>
      </c>
    </row>
    <row r="30" spans="1:19" x14ac:dyDescent="0.3">
      <c r="A30" t="s">
        <v>167</v>
      </c>
      <c r="B30" t="s">
        <v>61</v>
      </c>
      <c r="C30" t="s">
        <v>18</v>
      </c>
      <c r="D30" t="s">
        <v>45</v>
      </c>
      <c r="E30">
        <v>49</v>
      </c>
      <c r="F30" t="s">
        <v>2947</v>
      </c>
      <c r="G30" t="s">
        <v>168</v>
      </c>
      <c r="H30" t="s">
        <v>2369</v>
      </c>
      <c r="I30" t="s">
        <v>592</v>
      </c>
      <c r="J30" t="s">
        <v>140</v>
      </c>
      <c r="K30" t="s">
        <v>71</v>
      </c>
      <c r="L30" s="1">
        <v>44730</v>
      </c>
      <c r="M30" s="2">
        <v>866730</v>
      </c>
      <c r="N30" s="2" t="s">
        <v>2950</v>
      </c>
      <c r="O30" t="s">
        <v>130</v>
      </c>
      <c r="P30" t="s">
        <v>90</v>
      </c>
      <c r="Q30" t="s">
        <v>72</v>
      </c>
      <c r="R30">
        <v>3.9</v>
      </c>
      <c r="S30" t="s">
        <v>2952</v>
      </c>
    </row>
    <row r="31" spans="1:19" x14ac:dyDescent="0.3">
      <c r="A31" t="s">
        <v>169</v>
      </c>
      <c r="B31" t="s">
        <v>17</v>
      </c>
      <c r="C31" t="s">
        <v>104</v>
      </c>
      <c r="D31" t="s">
        <v>24</v>
      </c>
      <c r="E31">
        <v>43</v>
      </c>
      <c r="F31" t="s">
        <v>2946</v>
      </c>
      <c r="G31" t="s">
        <v>170</v>
      </c>
      <c r="H31" t="s">
        <v>2369</v>
      </c>
      <c r="I31" t="s">
        <v>271</v>
      </c>
      <c r="J31" t="s">
        <v>95</v>
      </c>
      <c r="K31" t="s">
        <v>71</v>
      </c>
      <c r="L31" s="1">
        <v>43724</v>
      </c>
      <c r="M31" s="2">
        <v>555682</v>
      </c>
      <c r="N31" s="2" t="s">
        <v>2950</v>
      </c>
      <c r="O31" t="s">
        <v>130</v>
      </c>
      <c r="P31" t="s">
        <v>353</v>
      </c>
      <c r="Q31" t="s">
        <v>244</v>
      </c>
      <c r="R31">
        <v>6.7</v>
      </c>
      <c r="S31" t="s">
        <v>2953</v>
      </c>
    </row>
    <row r="32" spans="1:19" x14ac:dyDescent="0.3">
      <c r="A32" t="s">
        <v>171</v>
      </c>
      <c r="B32" t="s">
        <v>113</v>
      </c>
      <c r="C32" t="s">
        <v>86</v>
      </c>
      <c r="D32" t="s">
        <v>24</v>
      </c>
      <c r="E32">
        <v>36</v>
      </c>
      <c r="F32" t="s">
        <v>2946</v>
      </c>
      <c r="G32" t="s">
        <v>172</v>
      </c>
      <c r="H32" t="s">
        <v>2486</v>
      </c>
      <c r="I32" t="s">
        <v>100</v>
      </c>
      <c r="J32" t="s">
        <v>173</v>
      </c>
      <c r="K32" t="s">
        <v>28</v>
      </c>
      <c r="L32" s="1">
        <v>44186</v>
      </c>
      <c r="M32" s="2">
        <v>817852</v>
      </c>
      <c r="N32" s="2" t="s">
        <v>2950</v>
      </c>
      <c r="O32" t="s">
        <v>111</v>
      </c>
      <c r="P32" t="s">
        <v>205</v>
      </c>
      <c r="Q32" t="s">
        <v>79</v>
      </c>
      <c r="R32">
        <v>5.4</v>
      </c>
      <c r="S32" t="s">
        <v>2953</v>
      </c>
    </row>
    <row r="33" spans="1:19" x14ac:dyDescent="0.3">
      <c r="A33" t="s">
        <v>174</v>
      </c>
      <c r="B33" t="s">
        <v>175</v>
      </c>
      <c r="C33" t="s">
        <v>176</v>
      </c>
      <c r="D33" t="s">
        <v>24</v>
      </c>
      <c r="E33">
        <v>37</v>
      </c>
      <c r="F33" t="s">
        <v>2946</v>
      </c>
      <c r="G33" t="s">
        <v>177</v>
      </c>
      <c r="H33" t="s">
        <v>178</v>
      </c>
      <c r="I33" t="s">
        <v>485</v>
      </c>
      <c r="J33" t="s">
        <v>179</v>
      </c>
      <c r="K33" t="s">
        <v>35</v>
      </c>
      <c r="L33" s="1">
        <v>44648</v>
      </c>
      <c r="M33" s="2">
        <v>234864</v>
      </c>
      <c r="N33" s="2" t="s">
        <v>2948</v>
      </c>
      <c r="O33" t="s">
        <v>111</v>
      </c>
      <c r="P33" t="s">
        <v>205</v>
      </c>
      <c r="Q33" t="s">
        <v>158</v>
      </c>
      <c r="R33">
        <v>4.0999999999999996</v>
      </c>
      <c r="S33" t="s">
        <v>2952</v>
      </c>
    </row>
    <row r="34" spans="1:19" x14ac:dyDescent="0.3">
      <c r="A34" t="s">
        <v>180</v>
      </c>
      <c r="B34" t="s">
        <v>145</v>
      </c>
      <c r="C34" t="s">
        <v>98</v>
      </c>
      <c r="D34" t="s">
        <v>24</v>
      </c>
      <c r="E34">
        <v>58</v>
      </c>
      <c r="F34" t="s">
        <v>2947</v>
      </c>
      <c r="G34" t="s">
        <v>181</v>
      </c>
      <c r="H34" t="s">
        <v>2369</v>
      </c>
      <c r="I34" t="s">
        <v>209</v>
      </c>
      <c r="J34" t="s">
        <v>122</v>
      </c>
      <c r="K34" t="s">
        <v>48</v>
      </c>
      <c r="L34" s="1">
        <v>42173</v>
      </c>
      <c r="M34" s="2">
        <v>551579</v>
      </c>
      <c r="N34" s="2" t="s">
        <v>2950</v>
      </c>
      <c r="O34" t="s">
        <v>111</v>
      </c>
      <c r="P34" t="s">
        <v>152</v>
      </c>
      <c r="Q34" t="s">
        <v>79</v>
      </c>
      <c r="R34">
        <v>10.9</v>
      </c>
      <c r="S34" t="s">
        <v>2951</v>
      </c>
    </row>
    <row r="35" spans="1:19" x14ac:dyDescent="0.3">
      <c r="A35" t="s">
        <v>182</v>
      </c>
      <c r="B35" t="s">
        <v>61</v>
      </c>
      <c r="C35" t="s">
        <v>183</v>
      </c>
      <c r="D35" t="s">
        <v>45</v>
      </c>
      <c r="E35">
        <v>47</v>
      </c>
      <c r="F35" t="s">
        <v>2947</v>
      </c>
      <c r="G35" t="s">
        <v>184</v>
      </c>
      <c r="H35" t="s">
        <v>2369</v>
      </c>
      <c r="I35" t="s">
        <v>485</v>
      </c>
      <c r="J35" t="s">
        <v>185</v>
      </c>
      <c r="K35" t="s">
        <v>28</v>
      </c>
      <c r="L35" s="1">
        <v>44865</v>
      </c>
      <c r="M35" s="2">
        <v>774299</v>
      </c>
      <c r="N35" s="2" t="s">
        <v>2950</v>
      </c>
      <c r="O35" t="s">
        <v>130</v>
      </c>
      <c r="P35" t="s">
        <v>90</v>
      </c>
      <c r="Q35" t="s">
        <v>244</v>
      </c>
      <c r="R35">
        <v>3.5</v>
      </c>
      <c r="S35" t="s">
        <v>2952</v>
      </c>
    </row>
    <row r="36" spans="1:19" x14ac:dyDescent="0.3">
      <c r="A36" t="s">
        <v>186</v>
      </c>
      <c r="B36" t="s">
        <v>187</v>
      </c>
      <c r="C36" t="s">
        <v>120</v>
      </c>
      <c r="D36" t="s">
        <v>24</v>
      </c>
      <c r="E36">
        <v>40</v>
      </c>
      <c r="F36" t="s">
        <v>2946</v>
      </c>
      <c r="G36" t="s">
        <v>188</v>
      </c>
      <c r="H36" t="s">
        <v>2369</v>
      </c>
      <c r="I36" t="s">
        <v>485</v>
      </c>
      <c r="J36" t="s">
        <v>179</v>
      </c>
      <c r="K36" t="s">
        <v>71</v>
      </c>
      <c r="M36" s="2">
        <v>545776</v>
      </c>
      <c r="N36" s="2" t="s">
        <v>2950</v>
      </c>
      <c r="O36" t="s">
        <v>130</v>
      </c>
      <c r="P36" t="s">
        <v>90</v>
      </c>
      <c r="Q36" t="s">
        <v>79</v>
      </c>
      <c r="R36">
        <v>8.6999999999999993</v>
      </c>
      <c r="S36" t="s">
        <v>2951</v>
      </c>
    </row>
    <row r="37" spans="1:19" x14ac:dyDescent="0.3">
      <c r="A37" t="s">
        <v>189</v>
      </c>
      <c r="B37" t="s">
        <v>190</v>
      </c>
      <c r="C37" t="s">
        <v>120</v>
      </c>
      <c r="D37" t="s">
        <v>24</v>
      </c>
      <c r="E37">
        <v>46</v>
      </c>
      <c r="F37" t="s">
        <v>2947</v>
      </c>
      <c r="G37" t="s">
        <v>191</v>
      </c>
      <c r="H37" t="s">
        <v>2487</v>
      </c>
      <c r="I37" t="s">
        <v>368</v>
      </c>
      <c r="J37" t="s">
        <v>192</v>
      </c>
      <c r="K37" t="s">
        <v>48</v>
      </c>
      <c r="L37" s="1">
        <v>43536</v>
      </c>
      <c r="M37" s="2">
        <v>327231</v>
      </c>
      <c r="N37" s="2" t="s">
        <v>2948</v>
      </c>
      <c r="O37" t="s">
        <v>130</v>
      </c>
      <c r="P37" t="s">
        <v>353</v>
      </c>
      <c r="Q37" t="s">
        <v>244</v>
      </c>
      <c r="R37">
        <v>7.2</v>
      </c>
      <c r="S37" t="s">
        <v>2953</v>
      </c>
    </row>
    <row r="38" spans="1:19" x14ac:dyDescent="0.3">
      <c r="A38" t="s">
        <v>193</v>
      </c>
      <c r="B38" t="s">
        <v>92</v>
      </c>
      <c r="C38" t="s">
        <v>183</v>
      </c>
      <c r="D38" t="s">
        <v>45</v>
      </c>
      <c r="E38">
        <v>37</v>
      </c>
      <c r="F38" t="s">
        <v>2946</v>
      </c>
      <c r="G38" t="s">
        <v>194</v>
      </c>
      <c r="H38" t="s">
        <v>2369</v>
      </c>
      <c r="I38" t="s">
        <v>394</v>
      </c>
      <c r="J38" t="s">
        <v>195</v>
      </c>
      <c r="K38" t="s">
        <v>48</v>
      </c>
      <c r="L38" s="1">
        <v>44523</v>
      </c>
      <c r="M38" s="2">
        <v>449954</v>
      </c>
      <c r="N38" s="2" t="s">
        <v>2948</v>
      </c>
      <c r="O38" t="s">
        <v>111</v>
      </c>
      <c r="P38" t="s">
        <v>152</v>
      </c>
      <c r="Q38" t="s">
        <v>244</v>
      </c>
      <c r="R38">
        <v>4.5</v>
      </c>
      <c r="S38" t="s">
        <v>2952</v>
      </c>
    </row>
    <row r="39" spans="1:19" x14ac:dyDescent="0.3">
      <c r="A39" t="s">
        <v>196</v>
      </c>
      <c r="B39" t="s">
        <v>92</v>
      </c>
      <c r="C39" t="s">
        <v>98</v>
      </c>
      <c r="D39" t="s">
        <v>24</v>
      </c>
      <c r="E39">
        <v>24</v>
      </c>
      <c r="F39" t="s">
        <v>2945</v>
      </c>
      <c r="G39" t="s">
        <v>197</v>
      </c>
      <c r="H39" t="s">
        <v>2488</v>
      </c>
      <c r="I39" t="s">
        <v>368</v>
      </c>
      <c r="J39" t="s">
        <v>20</v>
      </c>
      <c r="K39" t="s">
        <v>48</v>
      </c>
      <c r="L39" s="1">
        <v>42184</v>
      </c>
      <c r="M39" s="2">
        <v>289159</v>
      </c>
      <c r="N39" s="2" t="s">
        <v>2948</v>
      </c>
      <c r="O39" t="s">
        <v>198</v>
      </c>
      <c r="P39" t="s">
        <v>205</v>
      </c>
      <c r="Q39" t="s">
        <v>65</v>
      </c>
      <c r="R39">
        <v>10.9</v>
      </c>
      <c r="S39" t="s">
        <v>2951</v>
      </c>
    </row>
    <row r="40" spans="1:19" x14ac:dyDescent="0.3">
      <c r="A40" t="s">
        <v>199</v>
      </c>
      <c r="B40" t="s">
        <v>148</v>
      </c>
      <c r="C40" t="s">
        <v>200</v>
      </c>
      <c r="D40" t="s">
        <v>24</v>
      </c>
      <c r="E40">
        <v>44</v>
      </c>
      <c r="F40" t="s">
        <v>2946</v>
      </c>
      <c r="G40" t="s">
        <v>201</v>
      </c>
      <c r="H40" t="s">
        <v>2489</v>
      </c>
      <c r="I40" t="s">
        <v>517</v>
      </c>
      <c r="K40" t="s">
        <v>48</v>
      </c>
      <c r="L40" s="1">
        <v>42178</v>
      </c>
      <c r="M40" s="2">
        <v>842120</v>
      </c>
      <c r="N40" s="2" t="s">
        <v>2950</v>
      </c>
      <c r="O40" t="s">
        <v>41</v>
      </c>
      <c r="P40" t="s">
        <v>205</v>
      </c>
      <c r="Q40" t="s">
        <v>244</v>
      </c>
      <c r="R40">
        <v>10.9</v>
      </c>
      <c r="S40" t="s">
        <v>2951</v>
      </c>
    </row>
    <row r="41" spans="1:19" x14ac:dyDescent="0.3">
      <c r="A41" t="s">
        <v>202</v>
      </c>
      <c r="B41" t="s">
        <v>74</v>
      </c>
      <c r="C41" t="s">
        <v>149</v>
      </c>
      <c r="D41" t="s">
        <v>45</v>
      </c>
      <c r="E41">
        <v>53</v>
      </c>
      <c r="F41" t="s">
        <v>2947</v>
      </c>
      <c r="G41" t="s">
        <v>203</v>
      </c>
      <c r="H41" t="s">
        <v>2490</v>
      </c>
      <c r="I41" t="s">
        <v>517</v>
      </c>
      <c r="J41" t="s">
        <v>204</v>
      </c>
      <c r="K41" t="s">
        <v>35</v>
      </c>
      <c r="L41" s="1">
        <v>43174</v>
      </c>
      <c r="M41" s="2">
        <v>807691</v>
      </c>
      <c r="N41" s="2" t="s">
        <v>2950</v>
      </c>
      <c r="O41" t="s">
        <v>111</v>
      </c>
      <c r="P41" t="s">
        <v>205</v>
      </c>
      <c r="Q41" t="s">
        <v>244</v>
      </c>
      <c r="R41">
        <v>8.1999999999999993</v>
      </c>
      <c r="S41" t="s">
        <v>2951</v>
      </c>
    </row>
    <row r="42" spans="1:19" x14ac:dyDescent="0.3">
      <c r="A42" t="s">
        <v>206</v>
      </c>
      <c r="B42" t="s">
        <v>207</v>
      </c>
      <c r="C42" t="s">
        <v>120</v>
      </c>
      <c r="D42" t="s">
        <v>24</v>
      </c>
      <c r="E42">
        <v>26</v>
      </c>
      <c r="F42" t="s">
        <v>2945</v>
      </c>
      <c r="G42" t="s">
        <v>208</v>
      </c>
      <c r="H42" t="s">
        <v>2491</v>
      </c>
      <c r="I42" t="s">
        <v>209</v>
      </c>
      <c r="J42" t="s">
        <v>210</v>
      </c>
      <c r="K42" t="s">
        <v>71</v>
      </c>
      <c r="L42" s="1">
        <v>43303</v>
      </c>
      <c r="M42" s="2">
        <v>753540</v>
      </c>
      <c r="N42" s="2" t="s">
        <v>2950</v>
      </c>
      <c r="O42" t="s">
        <v>253</v>
      </c>
      <c r="P42" t="s">
        <v>205</v>
      </c>
      <c r="Q42" t="s">
        <v>244</v>
      </c>
      <c r="R42">
        <v>7.8</v>
      </c>
      <c r="S42" t="s">
        <v>2953</v>
      </c>
    </row>
    <row r="43" spans="1:19" x14ac:dyDescent="0.3">
      <c r="A43" t="s">
        <v>211</v>
      </c>
      <c r="B43" t="s">
        <v>212</v>
      </c>
      <c r="C43" t="s">
        <v>213</v>
      </c>
      <c r="D43" t="s">
        <v>45</v>
      </c>
      <c r="E43">
        <v>58</v>
      </c>
      <c r="F43" t="s">
        <v>2947</v>
      </c>
      <c r="G43" t="s">
        <v>214</v>
      </c>
      <c r="H43" t="s">
        <v>2369</v>
      </c>
      <c r="I43" t="s">
        <v>368</v>
      </c>
      <c r="J43" t="s">
        <v>215</v>
      </c>
      <c r="K43" t="s">
        <v>48</v>
      </c>
      <c r="L43" s="1">
        <v>44632</v>
      </c>
      <c r="M43" s="2">
        <v>888475</v>
      </c>
      <c r="N43" s="2" t="s">
        <v>2950</v>
      </c>
      <c r="O43" t="s">
        <v>216</v>
      </c>
      <c r="P43" t="s">
        <v>21</v>
      </c>
      <c r="Q43" t="s">
        <v>158</v>
      </c>
      <c r="R43">
        <v>4.2</v>
      </c>
      <c r="S43" t="s">
        <v>2952</v>
      </c>
    </row>
    <row r="44" spans="1:19" x14ac:dyDescent="0.3">
      <c r="A44" t="s">
        <v>217</v>
      </c>
      <c r="B44" t="s">
        <v>81</v>
      </c>
      <c r="C44" t="s">
        <v>120</v>
      </c>
      <c r="D44" t="s">
        <v>45</v>
      </c>
      <c r="E44">
        <v>42</v>
      </c>
      <c r="F44" t="s">
        <v>2946</v>
      </c>
      <c r="G44" t="s">
        <v>218</v>
      </c>
      <c r="H44" t="s">
        <v>2492</v>
      </c>
      <c r="I44" t="s">
        <v>235</v>
      </c>
      <c r="J44" t="s">
        <v>219</v>
      </c>
      <c r="K44" t="s">
        <v>28</v>
      </c>
      <c r="L44" s="1">
        <v>43346</v>
      </c>
      <c r="M44" s="2">
        <v>685748</v>
      </c>
      <c r="N44" s="2" t="s">
        <v>2950</v>
      </c>
      <c r="O44" t="s">
        <v>111</v>
      </c>
      <c r="P44" t="s">
        <v>353</v>
      </c>
      <c r="Q44" t="s">
        <v>244</v>
      </c>
      <c r="R44">
        <v>7.7</v>
      </c>
      <c r="S44" t="s">
        <v>2953</v>
      </c>
    </row>
    <row r="45" spans="1:19" x14ac:dyDescent="0.3">
      <c r="A45" t="s">
        <v>220</v>
      </c>
      <c r="B45" t="s">
        <v>81</v>
      </c>
      <c r="C45" t="s">
        <v>221</v>
      </c>
      <c r="D45" t="s">
        <v>24</v>
      </c>
      <c r="E45">
        <v>45</v>
      </c>
      <c r="F45" t="s">
        <v>2946</v>
      </c>
      <c r="G45" t="s">
        <v>222</v>
      </c>
      <c r="H45" t="s">
        <v>2493</v>
      </c>
      <c r="I45" t="s">
        <v>209</v>
      </c>
      <c r="J45" t="s">
        <v>210</v>
      </c>
      <c r="K45" t="s">
        <v>35</v>
      </c>
      <c r="L45" s="1">
        <v>42401</v>
      </c>
      <c r="M45" s="2">
        <v>493037</v>
      </c>
      <c r="N45" s="2" t="s">
        <v>2948</v>
      </c>
      <c r="O45" t="s">
        <v>111</v>
      </c>
      <c r="P45" t="s">
        <v>90</v>
      </c>
      <c r="Q45" t="s">
        <v>244</v>
      </c>
      <c r="R45">
        <v>10.3</v>
      </c>
      <c r="S45" t="s">
        <v>2951</v>
      </c>
    </row>
    <row r="46" spans="1:19" x14ac:dyDescent="0.3">
      <c r="A46" t="s">
        <v>223</v>
      </c>
      <c r="B46" t="s">
        <v>224</v>
      </c>
      <c r="C46" t="s">
        <v>200</v>
      </c>
      <c r="D46" t="s">
        <v>45</v>
      </c>
      <c r="E46">
        <v>58</v>
      </c>
      <c r="F46" t="s">
        <v>2947</v>
      </c>
      <c r="G46" t="s">
        <v>225</v>
      </c>
      <c r="H46" t="s">
        <v>226</v>
      </c>
      <c r="I46" t="s">
        <v>368</v>
      </c>
      <c r="J46" t="s">
        <v>227</v>
      </c>
      <c r="K46" t="s">
        <v>28</v>
      </c>
      <c r="L46" s="1">
        <v>44690</v>
      </c>
      <c r="M46" s="2">
        <v>893864</v>
      </c>
      <c r="N46" s="2" t="s">
        <v>2950</v>
      </c>
      <c r="O46" t="s">
        <v>41</v>
      </c>
      <c r="P46" t="s">
        <v>353</v>
      </c>
      <c r="Q46" t="s">
        <v>79</v>
      </c>
      <c r="R46">
        <v>4</v>
      </c>
      <c r="S46" t="s">
        <v>2952</v>
      </c>
    </row>
    <row r="47" spans="1:19" x14ac:dyDescent="0.3">
      <c r="A47" t="s">
        <v>228</v>
      </c>
      <c r="B47" t="s">
        <v>67</v>
      </c>
      <c r="C47" t="s">
        <v>229</v>
      </c>
      <c r="D47" t="s">
        <v>45</v>
      </c>
      <c r="E47">
        <v>39</v>
      </c>
      <c r="F47" t="s">
        <v>2946</v>
      </c>
      <c r="G47" t="s">
        <v>230</v>
      </c>
      <c r="H47" t="s">
        <v>2494</v>
      </c>
      <c r="I47" t="s">
        <v>394</v>
      </c>
      <c r="J47" t="s">
        <v>231</v>
      </c>
      <c r="K47" t="s">
        <v>35</v>
      </c>
      <c r="L47" s="1">
        <v>42792</v>
      </c>
      <c r="M47" s="2">
        <v>338494</v>
      </c>
      <c r="N47" s="2" t="s">
        <v>2948</v>
      </c>
      <c r="O47" t="s">
        <v>111</v>
      </c>
      <c r="P47" t="s">
        <v>152</v>
      </c>
      <c r="Q47" t="s">
        <v>72</v>
      </c>
      <c r="R47">
        <v>9.1999999999999993</v>
      </c>
      <c r="S47" t="s">
        <v>2951</v>
      </c>
    </row>
    <row r="48" spans="1:19" x14ac:dyDescent="0.3">
      <c r="A48" t="s">
        <v>232</v>
      </c>
      <c r="B48" t="s">
        <v>233</v>
      </c>
      <c r="C48" t="s">
        <v>133</v>
      </c>
      <c r="D48" t="s">
        <v>45</v>
      </c>
      <c r="E48">
        <v>52</v>
      </c>
      <c r="F48" t="s">
        <v>2947</v>
      </c>
      <c r="G48" t="s">
        <v>2418</v>
      </c>
      <c r="H48" t="s">
        <v>234</v>
      </c>
      <c r="I48" t="s">
        <v>235</v>
      </c>
      <c r="J48" t="s">
        <v>59</v>
      </c>
      <c r="K48" t="s">
        <v>71</v>
      </c>
      <c r="L48" s="1">
        <v>43697</v>
      </c>
      <c r="M48" s="2">
        <v>426337</v>
      </c>
      <c r="N48" s="2" t="s">
        <v>2948</v>
      </c>
      <c r="O48" t="s">
        <v>216</v>
      </c>
      <c r="P48" t="s">
        <v>21</v>
      </c>
      <c r="Q48" t="s">
        <v>72</v>
      </c>
      <c r="R48">
        <v>6.7</v>
      </c>
      <c r="S48" t="s">
        <v>2953</v>
      </c>
    </row>
    <row r="49" spans="1:19" x14ac:dyDescent="0.3">
      <c r="A49" t="s">
        <v>236</v>
      </c>
      <c r="B49" t="s">
        <v>154</v>
      </c>
      <c r="C49" t="s">
        <v>237</v>
      </c>
      <c r="D49" t="s">
        <v>45</v>
      </c>
      <c r="E49">
        <v>39</v>
      </c>
      <c r="F49" t="s">
        <v>2946</v>
      </c>
      <c r="G49" t="s">
        <v>238</v>
      </c>
      <c r="H49" t="s">
        <v>2495</v>
      </c>
      <c r="I49" t="s">
        <v>517</v>
      </c>
      <c r="J49" t="s">
        <v>239</v>
      </c>
      <c r="K49" t="s">
        <v>71</v>
      </c>
      <c r="L49" s="1">
        <v>44070</v>
      </c>
      <c r="M49" s="2">
        <v>570755</v>
      </c>
      <c r="N49" s="2" t="s">
        <v>2950</v>
      </c>
      <c r="O49" t="s">
        <v>216</v>
      </c>
      <c r="P49" t="s">
        <v>353</v>
      </c>
      <c r="Q49" t="s">
        <v>244</v>
      </c>
      <c r="R49">
        <v>5.7</v>
      </c>
      <c r="S49" t="s">
        <v>2953</v>
      </c>
    </row>
    <row r="50" spans="1:19" x14ac:dyDescent="0.3">
      <c r="A50" t="s">
        <v>240</v>
      </c>
      <c r="B50" t="s">
        <v>67</v>
      </c>
      <c r="C50" t="s">
        <v>38</v>
      </c>
      <c r="D50" t="s">
        <v>45</v>
      </c>
      <c r="E50">
        <v>45</v>
      </c>
      <c r="F50" t="s">
        <v>2946</v>
      </c>
      <c r="G50" t="s">
        <v>241</v>
      </c>
      <c r="H50" t="s">
        <v>242</v>
      </c>
      <c r="I50" t="s">
        <v>394</v>
      </c>
      <c r="J50" t="s">
        <v>243</v>
      </c>
      <c r="K50" t="s">
        <v>35</v>
      </c>
      <c r="L50" s="1">
        <v>44621</v>
      </c>
      <c r="M50" s="2">
        <v>389369</v>
      </c>
      <c r="N50" s="2" t="s">
        <v>2948</v>
      </c>
      <c r="O50" t="s">
        <v>111</v>
      </c>
      <c r="P50" t="s">
        <v>90</v>
      </c>
      <c r="Q50" t="s">
        <v>244</v>
      </c>
      <c r="R50">
        <v>4.2</v>
      </c>
      <c r="S50" t="s">
        <v>2952</v>
      </c>
    </row>
    <row r="51" spans="1:19" x14ac:dyDescent="0.3">
      <c r="A51" t="s">
        <v>245</v>
      </c>
      <c r="B51" t="s">
        <v>97</v>
      </c>
      <c r="C51" t="s">
        <v>38</v>
      </c>
      <c r="D51" t="s">
        <v>24</v>
      </c>
      <c r="E51">
        <v>51</v>
      </c>
      <c r="F51" t="s">
        <v>2947</v>
      </c>
      <c r="G51" t="s">
        <v>246</v>
      </c>
      <c r="H51" t="s">
        <v>2496</v>
      </c>
      <c r="I51" t="s">
        <v>592</v>
      </c>
      <c r="J51" t="s">
        <v>247</v>
      </c>
      <c r="K51" t="s">
        <v>35</v>
      </c>
      <c r="L51" s="1">
        <v>42241</v>
      </c>
      <c r="M51" s="2">
        <v>665941</v>
      </c>
      <c r="N51" s="2" t="s">
        <v>2950</v>
      </c>
      <c r="O51" t="s">
        <v>216</v>
      </c>
      <c r="P51" t="s">
        <v>21</v>
      </c>
      <c r="Q51" t="s">
        <v>79</v>
      </c>
      <c r="R51">
        <v>10.7</v>
      </c>
      <c r="S51" t="s">
        <v>2951</v>
      </c>
    </row>
    <row r="52" spans="1:19" x14ac:dyDescent="0.3">
      <c r="A52" t="s">
        <v>248</v>
      </c>
      <c r="B52" t="s">
        <v>154</v>
      </c>
      <c r="C52" t="s">
        <v>249</v>
      </c>
      <c r="D52" t="s">
        <v>24</v>
      </c>
      <c r="E52">
        <v>23</v>
      </c>
      <c r="F52" t="s">
        <v>2945</v>
      </c>
      <c r="G52" t="s">
        <v>250</v>
      </c>
      <c r="H52" t="s">
        <v>251</v>
      </c>
      <c r="I52" t="s">
        <v>53</v>
      </c>
      <c r="J52" t="s">
        <v>252</v>
      </c>
      <c r="K52" t="s">
        <v>48</v>
      </c>
      <c r="L52" s="1">
        <v>42917</v>
      </c>
      <c r="M52" s="2">
        <v>83642</v>
      </c>
      <c r="N52" s="2" t="s">
        <v>2949</v>
      </c>
      <c r="O52" t="s">
        <v>253</v>
      </c>
      <c r="P52" t="s">
        <v>21</v>
      </c>
      <c r="Q52" t="s">
        <v>79</v>
      </c>
      <c r="R52">
        <v>8.9</v>
      </c>
      <c r="S52" t="s">
        <v>2951</v>
      </c>
    </row>
    <row r="53" spans="1:19" x14ac:dyDescent="0.3">
      <c r="A53" t="s">
        <v>254</v>
      </c>
      <c r="B53" t="s">
        <v>224</v>
      </c>
      <c r="C53" t="s">
        <v>82</v>
      </c>
      <c r="D53" t="s">
        <v>45</v>
      </c>
      <c r="E53">
        <v>37</v>
      </c>
      <c r="F53" t="s">
        <v>2946</v>
      </c>
      <c r="G53" t="s">
        <v>255</v>
      </c>
      <c r="H53" t="s">
        <v>256</v>
      </c>
      <c r="I53" t="s">
        <v>485</v>
      </c>
      <c r="J53" t="s">
        <v>257</v>
      </c>
      <c r="K53" t="s">
        <v>71</v>
      </c>
      <c r="M53" s="2">
        <v>416241</v>
      </c>
      <c r="N53" s="2" t="s">
        <v>2948</v>
      </c>
      <c r="O53" t="s">
        <v>111</v>
      </c>
      <c r="P53" t="s">
        <v>90</v>
      </c>
      <c r="Q53" t="s">
        <v>79</v>
      </c>
      <c r="R53">
        <v>3.8</v>
      </c>
      <c r="S53" t="s">
        <v>2952</v>
      </c>
    </row>
    <row r="54" spans="1:19" x14ac:dyDescent="0.3">
      <c r="A54" t="s">
        <v>258</v>
      </c>
      <c r="B54" t="s">
        <v>259</v>
      </c>
      <c r="C54" t="s">
        <v>229</v>
      </c>
      <c r="D54" t="s">
        <v>45</v>
      </c>
      <c r="E54">
        <v>56</v>
      </c>
      <c r="F54" t="s">
        <v>2947</v>
      </c>
      <c r="G54" t="s">
        <v>2419</v>
      </c>
      <c r="H54" t="s">
        <v>2369</v>
      </c>
      <c r="I54" t="s">
        <v>271</v>
      </c>
      <c r="J54" t="s">
        <v>40</v>
      </c>
      <c r="K54" t="s">
        <v>28</v>
      </c>
      <c r="L54" s="1">
        <v>43524</v>
      </c>
      <c r="M54" s="2">
        <v>176955</v>
      </c>
      <c r="N54" s="2" t="s">
        <v>2949</v>
      </c>
      <c r="O54" t="s">
        <v>111</v>
      </c>
      <c r="P54" t="s">
        <v>152</v>
      </c>
      <c r="Q54" t="s">
        <v>72</v>
      </c>
      <c r="R54">
        <v>7.2</v>
      </c>
      <c r="S54" t="s">
        <v>2953</v>
      </c>
    </row>
    <row r="55" spans="1:19" x14ac:dyDescent="0.3">
      <c r="A55" t="s">
        <v>260</v>
      </c>
      <c r="B55" t="s">
        <v>224</v>
      </c>
      <c r="C55" t="s">
        <v>146</v>
      </c>
      <c r="D55" t="s">
        <v>45</v>
      </c>
      <c r="E55">
        <v>24</v>
      </c>
      <c r="F55" t="s">
        <v>2945</v>
      </c>
      <c r="G55" t="s">
        <v>261</v>
      </c>
      <c r="H55" t="s">
        <v>2497</v>
      </c>
      <c r="I55" t="s">
        <v>485</v>
      </c>
      <c r="J55" t="s">
        <v>262</v>
      </c>
      <c r="K55" t="s">
        <v>71</v>
      </c>
      <c r="L55" s="1">
        <v>43286</v>
      </c>
      <c r="M55" s="2">
        <v>5140.37</v>
      </c>
      <c r="N55" s="2" t="s">
        <v>2949</v>
      </c>
      <c r="O55" t="s">
        <v>111</v>
      </c>
      <c r="P55" t="s">
        <v>152</v>
      </c>
      <c r="Q55" t="s">
        <v>65</v>
      </c>
      <c r="R55">
        <v>7.9</v>
      </c>
      <c r="S55" t="s">
        <v>2953</v>
      </c>
    </row>
    <row r="56" spans="1:19" x14ac:dyDescent="0.3">
      <c r="A56" t="s">
        <v>263</v>
      </c>
      <c r="B56" t="s">
        <v>61</v>
      </c>
      <c r="C56" t="s">
        <v>264</v>
      </c>
      <c r="D56" t="s">
        <v>45</v>
      </c>
      <c r="E56">
        <v>26</v>
      </c>
      <c r="F56" t="s">
        <v>2945</v>
      </c>
      <c r="G56" t="s">
        <v>265</v>
      </c>
      <c r="H56" t="s">
        <v>266</v>
      </c>
      <c r="I56" t="s">
        <v>368</v>
      </c>
      <c r="J56" t="s">
        <v>267</v>
      </c>
      <c r="K56" t="s">
        <v>71</v>
      </c>
      <c r="L56" s="1">
        <v>44588</v>
      </c>
      <c r="M56" s="2">
        <v>322675</v>
      </c>
      <c r="N56" s="2" t="s">
        <v>2948</v>
      </c>
      <c r="O56" t="s">
        <v>130</v>
      </c>
      <c r="P56" t="s">
        <v>90</v>
      </c>
      <c r="Q56" t="s">
        <v>72</v>
      </c>
      <c r="R56">
        <v>4.3</v>
      </c>
      <c r="S56" t="s">
        <v>2952</v>
      </c>
    </row>
    <row r="57" spans="1:19" x14ac:dyDescent="0.3">
      <c r="A57" t="s">
        <v>268</v>
      </c>
      <c r="B57" t="s">
        <v>269</v>
      </c>
      <c r="C57" t="s">
        <v>221</v>
      </c>
      <c r="D57" t="s">
        <v>45</v>
      </c>
      <c r="E57">
        <v>46</v>
      </c>
      <c r="F57" t="s">
        <v>2947</v>
      </c>
      <c r="G57" t="s">
        <v>270</v>
      </c>
      <c r="H57" t="s">
        <v>2498</v>
      </c>
      <c r="I57" t="s">
        <v>271</v>
      </c>
      <c r="J57" t="s">
        <v>135</v>
      </c>
      <c r="K57" t="s">
        <v>48</v>
      </c>
      <c r="L57" s="1">
        <v>43665</v>
      </c>
      <c r="M57" s="2">
        <v>477687</v>
      </c>
      <c r="N57" s="2" t="s">
        <v>2948</v>
      </c>
      <c r="O57" t="s">
        <v>111</v>
      </c>
      <c r="P57" t="s">
        <v>205</v>
      </c>
      <c r="Q57" t="s">
        <v>79</v>
      </c>
      <c r="R57">
        <v>6.8</v>
      </c>
      <c r="S57" t="s">
        <v>2953</v>
      </c>
    </row>
    <row r="58" spans="1:19" x14ac:dyDescent="0.3">
      <c r="A58" t="s">
        <v>272</v>
      </c>
      <c r="B58" t="s">
        <v>259</v>
      </c>
      <c r="C58" t="s">
        <v>273</v>
      </c>
      <c r="D58" t="s">
        <v>24</v>
      </c>
      <c r="E58">
        <v>54</v>
      </c>
      <c r="F58" t="s">
        <v>2947</v>
      </c>
      <c r="G58" t="s">
        <v>2420</v>
      </c>
      <c r="H58" t="s">
        <v>2499</v>
      </c>
      <c r="I58" t="s">
        <v>100</v>
      </c>
      <c r="J58" t="s">
        <v>274</v>
      </c>
      <c r="K58" t="s">
        <v>48</v>
      </c>
      <c r="L58" s="1">
        <v>44971</v>
      </c>
      <c r="M58" s="2">
        <v>162237</v>
      </c>
      <c r="N58" s="2" t="s">
        <v>2949</v>
      </c>
      <c r="O58" t="s">
        <v>130</v>
      </c>
      <c r="P58" t="s">
        <v>152</v>
      </c>
      <c r="Q58" t="s">
        <v>244</v>
      </c>
      <c r="R58">
        <v>3.2</v>
      </c>
      <c r="S58" t="s">
        <v>2952</v>
      </c>
    </row>
    <row r="59" spans="1:19" x14ac:dyDescent="0.3">
      <c r="A59" t="s">
        <v>275</v>
      </c>
      <c r="B59" t="s">
        <v>85</v>
      </c>
      <c r="C59" t="s">
        <v>155</v>
      </c>
      <c r="D59" t="s">
        <v>45</v>
      </c>
      <c r="E59">
        <v>57</v>
      </c>
      <c r="F59" t="s">
        <v>2947</v>
      </c>
      <c r="G59" t="s">
        <v>2421</v>
      </c>
      <c r="H59" t="s">
        <v>2500</v>
      </c>
      <c r="I59" t="s">
        <v>271</v>
      </c>
      <c r="J59" t="s">
        <v>95</v>
      </c>
      <c r="K59" t="s">
        <v>28</v>
      </c>
      <c r="L59" s="1">
        <v>43843</v>
      </c>
      <c r="M59" s="2">
        <v>664041</v>
      </c>
      <c r="N59" s="2" t="s">
        <v>2950</v>
      </c>
      <c r="O59" t="s">
        <v>130</v>
      </c>
      <c r="P59" t="s">
        <v>205</v>
      </c>
      <c r="Q59" t="s">
        <v>158</v>
      </c>
      <c r="R59">
        <v>6.3</v>
      </c>
      <c r="S59" t="s">
        <v>2953</v>
      </c>
    </row>
    <row r="60" spans="1:19" x14ac:dyDescent="0.3">
      <c r="A60" t="s">
        <v>276</v>
      </c>
      <c r="B60" t="s">
        <v>269</v>
      </c>
      <c r="C60" t="s">
        <v>277</v>
      </c>
      <c r="D60" t="s">
        <v>24</v>
      </c>
      <c r="E60">
        <v>43</v>
      </c>
      <c r="F60" t="s">
        <v>2946</v>
      </c>
      <c r="G60" t="s">
        <v>278</v>
      </c>
      <c r="H60" t="s">
        <v>279</v>
      </c>
      <c r="I60" t="s">
        <v>592</v>
      </c>
      <c r="J60" t="s">
        <v>140</v>
      </c>
      <c r="K60" t="s">
        <v>35</v>
      </c>
      <c r="L60" s="1">
        <v>44545</v>
      </c>
      <c r="M60" s="2">
        <v>478343</v>
      </c>
      <c r="N60" s="2" t="s">
        <v>2948</v>
      </c>
      <c r="O60" t="s">
        <v>41</v>
      </c>
      <c r="P60" t="s">
        <v>353</v>
      </c>
      <c r="Q60" t="s">
        <v>158</v>
      </c>
      <c r="R60">
        <v>4.4000000000000004</v>
      </c>
      <c r="S60" t="s">
        <v>2952</v>
      </c>
    </row>
    <row r="61" spans="1:19" x14ac:dyDescent="0.3">
      <c r="A61" t="s">
        <v>280</v>
      </c>
      <c r="B61" t="s">
        <v>281</v>
      </c>
      <c r="C61" t="s">
        <v>221</v>
      </c>
      <c r="D61" t="s">
        <v>24</v>
      </c>
      <c r="E61">
        <v>38</v>
      </c>
      <c r="F61" t="s">
        <v>2946</v>
      </c>
      <c r="G61" t="s">
        <v>282</v>
      </c>
      <c r="H61" t="s">
        <v>283</v>
      </c>
      <c r="I61" t="s">
        <v>517</v>
      </c>
      <c r="J61" t="s">
        <v>284</v>
      </c>
      <c r="K61" t="s">
        <v>28</v>
      </c>
      <c r="L61" s="1">
        <v>43245</v>
      </c>
      <c r="M61" s="2">
        <v>333777</v>
      </c>
      <c r="N61" s="2" t="s">
        <v>2948</v>
      </c>
      <c r="O61" t="s">
        <v>253</v>
      </c>
      <c r="P61" t="s">
        <v>90</v>
      </c>
      <c r="Q61" t="s">
        <v>79</v>
      </c>
      <c r="R61">
        <v>8</v>
      </c>
      <c r="S61" t="s">
        <v>2953</v>
      </c>
    </row>
    <row r="62" spans="1:19" x14ac:dyDescent="0.3">
      <c r="A62" t="s">
        <v>285</v>
      </c>
      <c r="B62" t="s">
        <v>286</v>
      </c>
      <c r="C62" t="s">
        <v>287</v>
      </c>
      <c r="D62" t="s">
        <v>45</v>
      </c>
      <c r="E62">
        <v>54</v>
      </c>
      <c r="F62" t="s">
        <v>2947</v>
      </c>
      <c r="G62" t="s">
        <v>288</v>
      </c>
      <c r="H62" t="s">
        <v>289</v>
      </c>
      <c r="I62" t="s">
        <v>592</v>
      </c>
      <c r="J62" t="s">
        <v>290</v>
      </c>
      <c r="K62" t="s">
        <v>71</v>
      </c>
      <c r="M62" s="2">
        <v>697181</v>
      </c>
      <c r="N62" s="2" t="s">
        <v>2950</v>
      </c>
      <c r="O62" t="s">
        <v>130</v>
      </c>
      <c r="P62" t="s">
        <v>152</v>
      </c>
      <c r="Q62" t="s">
        <v>72</v>
      </c>
      <c r="R62">
        <v>3.7</v>
      </c>
      <c r="S62" t="s">
        <v>2952</v>
      </c>
    </row>
    <row r="63" spans="1:19" x14ac:dyDescent="0.3">
      <c r="A63" t="s">
        <v>2313</v>
      </c>
      <c r="B63" t="s">
        <v>44</v>
      </c>
      <c r="C63" t="s">
        <v>104</v>
      </c>
      <c r="D63" t="s">
        <v>45</v>
      </c>
      <c r="E63">
        <v>46</v>
      </c>
      <c r="F63" t="s">
        <v>2947</v>
      </c>
      <c r="G63" t="s">
        <v>291</v>
      </c>
      <c r="H63" t="s">
        <v>2369</v>
      </c>
      <c r="I63" t="s">
        <v>209</v>
      </c>
      <c r="J63" t="s">
        <v>292</v>
      </c>
      <c r="K63" t="s">
        <v>48</v>
      </c>
      <c r="L63" s="1">
        <v>44430</v>
      </c>
      <c r="M63" s="2">
        <v>530418</v>
      </c>
      <c r="N63" s="2" t="s">
        <v>2950</v>
      </c>
      <c r="O63" t="s">
        <v>111</v>
      </c>
      <c r="P63" t="s">
        <v>152</v>
      </c>
      <c r="Q63" t="s">
        <v>65</v>
      </c>
      <c r="R63">
        <v>4.7</v>
      </c>
      <c r="S63" t="s">
        <v>2952</v>
      </c>
    </row>
    <row r="64" spans="1:19" x14ac:dyDescent="0.3">
      <c r="A64" t="s">
        <v>293</v>
      </c>
      <c r="B64" t="s">
        <v>141</v>
      </c>
      <c r="C64" t="s">
        <v>75</v>
      </c>
      <c r="D64" t="s">
        <v>24</v>
      </c>
      <c r="E64">
        <v>33</v>
      </c>
      <c r="F64" t="s">
        <v>2946</v>
      </c>
      <c r="G64" t="s">
        <v>294</v>
      </c>
      <c r="H64" t="s">
        <v>2501</v>
      </c>
      <c r="I64" t="s">
        <v>517</v>
      </c>
      <c r="J64" t="s">
        <v>295</v>
      </c>
      <c r="K64" t="s">
        <v>71</v>
      </c>
      <c r="L64" s="1">
        <v>44845</v>
      </c>
      <c r="M64" s="2">
        <v>756604</v>
      </c>
      <c r="N64" s="2" t="s">
        <v>2950</v>
      </c>
      <c r="O64" t="s">
        <v>130</v>
      </c>
      <c r="P64" t="s">
        <v>353</v>
      </c>
      <c r="Q64" t="s">
        <v>79</v>
      </c>
      <c r="R64">
        <v>3.6</v>
      </c>
      <c r="S64" t="s">
        <v>2952</v>
      </c>
    </row>
    <row r="65" spans="1:19" x14ac:dyDescent="0.3">
      <c r="A65" t="s">
        <v>296</v>
      </c>
      <c r="B65" t="s">
        <v>297</v>
      </c>
      <c r="C65" t="s">
        <v>114</v>
      </c>
      <c r="D65" t="s">
        <v>24</v>
      </c>
      <c r="E65">
        <v>28</v>
      </c>
      <c r="F65" t="s">
        <v>2945</v>
      </c>
      <c r="G65" t="s">
        <v>298</v>
      </c>
      <c r="H65" t="s">
        <v>299</v>
      </c>
      <c r="I65" t="s">
        <v>368</v>
      </c>
      <c r="J65" t="s">
        <v>192</v>
      </c>
      <c r="K65" t="s">
        <v>35</v>
      </c>
      <c r="L65" s="1">
        <v>42900</v>
      </c>
      <c r="M65" s="2">
        <v>525807</v>
      </c>
      <c r="N65" s="2" t="s">
        <v>2950</v>
      </c>
      <c r="O65" t="s">
        <v>253</v>
      </c>
      <c r="P65" t="s">
        <v>353</v>
      </c>
      <c r="Q65" t="s">
        <v>72</v>
      </c>
      <c r="R65">
        <v>8.9</v>
      </c>
      <c r="S65" t="s">
        <v>2951</v>
      </c>
    </row>
    <row r="66" spans="1:19" x14ac:dyDescent="0.3">
      <c r="A66" t="s">
        <v>300</v>
      </c>
      <c r="B66" t="s">
        <v>301</v>
      </c>
      <c r="C66" t="s">
        <v>120</v>
      </c>
      <c r="D66" t="s">
        <v>24</v>
      </c>
      <c r="E66">
        <v>30</v>
      </c>
      <c r="F66" t="s">
        <v>2945</v>
      </c>
      <c r="G66" t="s">
        <v>302</v>
      </c>
      <c r="H66" t="s">
        <v>2369</v>
      </c>
      <c r="I66" t="s">
        <v>368</v>
      </c>
      <c r="J66" t="s">
        <v>303</v>
      </c>
      <c r="K66" t="s">
        <v>28</v>
      </c>
      <c r="L66" s="1">
        <v>44691</v>
      </c>
      <c r="M66" s="2">
        <v>213051</v>
      </c>
      <c r="N66" s="2" t="s">
        <v>2948</v>
      </c>
      <c r="O66" t="s">
        <v>216</v>
      </c>
      <c r="P66" t="s">
        <v>205</v>
      </c>
      <c r="Q66" t="s">
        <v>79</v>
      </c>
      <c r="R66">
        <v>4</v>
      </c>
      <c r="S66" t="s">
        <v>2952</v>
      </c>
    </row>
    <row r="67" spans="1:19" x14ac:dyDescent="0.3">
      <c r="A67" t="s">
        <v>2314</v>
      </c>
      <c r="B67" t="s">
        <v>97</v>
      </c>
      <c r="C67" t="s">
        <v>82</v>
      </c>
      <c r="D67" t="s">
        <v>24</v>
      </c>
      <c r="E67">
        <v>25</v>
      </c>
      <c r="F67" t="s">
        <v>2945</v>
      </c>
      <c r="G67" t="s">
        <v>304</v>
      </c>
      <c r="H67" t="s">
        <v>305</v>
      </c>
      <c r="I67" t="s">
        <v>517</v>
      </c>
      <c r="K67" t="s">
        <v>71</v>
      </c>
      <c r="M67" s="2">
        <v>879281</v>
      </c>
      <c r="N67" s="2" t="s">
        <v>2950</v>
      </c>
      <c r="O67" t="s">
        <v>253</v>
      </c>
      <c r="P67" t="s">
        <v>21</v>
      </c>
      <c r="Q67" t="s">
        <v>79</v>
      </c>
      <c r="R67">
        <v>3.7</v>
      </c>
      <c r="S67" t="s">
        <v>2952</v>
      </c>
    </row>
    <row r="68" spans="1:19" x14ac:dyDescent="0.3">
      <c r="A68" t="s">
        <v>306</v>
      </c>
      <c r="B68" t="s">
        <v>286</v>
      </c>
      <c r="C68" t="s">
        <v>277</v>
      </c>
      <c r="D68" t="s">
        <v>45</v>
      </c>
      <c r="E68">
        <v>30</v>
      </c>
      <c r="F68" t="s">
        <v>2945</v>
      </c>
      <c r="G68" t="s">
        <v>307</v>
      </c>
      <c r="H68" t="s">
        <v>308</v>
      </c>
      <c r="I68" t="s">
        <v>368</v>
      </c>
      <c r="J68" t="s">
        <v>303</v>
      </c>
      <c r="K68" t="s">
        <v>28</v>
      </c>
      <c r="L68" s="1">
        <v>42498</v>
      </c>
      <c r="M68" s="2">
        <v>522828</v>
      </c>
      <c r="N68" s="2" t="s">
        <v>2950</v>
      </c>
      <c r="O68" t="s">
        <v>130</v>
      </c>
      <c r="P68" t="s">
        <v>205</v>
      </c>
      <c r="Q68" t="s">
        <v>65</v>
      </c>
      <c r="R68">
        <v>10</v>
      </c>
      <c r="S68" t="s">
        <v>2951</v>
      </c>
    </row>
    <row r="69" spans="1:19" x14ac:dyDescent="0.3">
      <c r="A69" t="s">
        <v>309</v>
      </c>
      <c r="B69" t="s">
        <v>310</v>
      </c>
      <c r="C69" t="s">
        <v>104</v>
      </c>
      <c r="D69" t="s">
        <v>24</v>
      </c>
      <c r="E69">
        <v>34</v>
      </c>
      <c r="F69" t="s">
        <v>2946</v>
      </c>
      <c r="G69" t="s">
        <v>311</v>
      </c>
      <c r="H69" t="s">
        <v>312</v>
      </c>
      <c r="I69" t="s">
        <v>394</v>
      </c>
      <c r="J69" t="s">
        <v>84</v>
      </c>
      <c r="K69" t="s">
        <v>48</v>
      </c>
      <c r="L69" s="1">
        <v>44490</v>
      </c>
      <c r="M69" s="2">
        <v>614273</v>
      </c>
      <c r="N69" s="2" t="s">
        <v>2950</v>
      </c>
      <c r="O69" t="s">
        <v>41</v>
      </c>
      <c r="P69" t="s">
        <v>205</v>
      </c>
      <c r="Q69" t="s">
        <v>158</v>
      </c>
      <c r="R69">
        <v>4.5999999999999996</v>
      </c>
      <c r="S69" t="s">
        <v>2952</v>
      </c>
    </row>
    <row r="70" spans="1:19" x14ac:dyDescent="0.3">
      <c r="A70" t="s">
        <v>313</v>
      </c>
      <c r="B70" t="s">
        <v>132</v>
      </c>
      <c r="C70" t="s">
        <v>314</v>
      </c>
      <c r="D70" t="s">
        <v>24</v>
      </c>
      <c r="E70">
        <v>27</v>
      </c>
      <c r="F70" t="s">
        <v>2945</v>
      </c>
      <c r="G70" t="s">
        <v>315</v>
      </c>
      <c r="H70" t="s">
        <v>2502</v>
      </c>
      <c r="I70" t="s">
        <v>53</v>
      </c>
      <c r="J70" t="s">
        <v>316</v>
      </c>
      <c r="K70" t="s">
        <v>35</v>
      </c>
      <c r="L70" s="1">
        <v>42630</v>
      </c>
      <c r="M70" s="2">
        <v>370946</v>
      </c>
      <c r="N70" s="2" t="s">
        <v>2948</v>
      </c>
      <c r="O70" t="s">
        <v>111</v>
      </c>
      <c r="P70" t="s">
        <v>90</v>
      </c>
      <c r="Q70" t="s">
        <v>244</v>
      </c>
      <c r="R70">
        <v>9.6999999999999993</v>
      </c>
      <c r="S70" t="s">
        <v>2951</v>
      </c>
    </row>
    <row r="71" spans="1:19" x14ac:dyDescent="0.3">
      <c r="A71" t="s">
        <v>317</v>
      </c>
      <c r="B71" t="s">
        <v>141</v>
      </c>
      <c r="C71" t="s">
        <v>318</v>
      </c>
      <c r="D71" t="s">
        <v>24</v>
      </c>
      <c r="E71">
        <v>26</v>
      </c>
      <c r="F71" t="s">
        <v>2945</v>
      </c>
      <c r="G71" t="s">
        <v>319</v>
      </c>
      <c r="H71" t="s">
        <v>2369</v>
      </c>
      <c r="I71" t="s">
        <v>53</v>
      </c>
      <c r="J71" t="s">
        <v>320</v>
      </c>
      <c r="K71" t="s">
        <v>28</v>
      </c>
      <c r="L71" s="1">
        <v>44922</v>
      </c>
      <c r="M71" s="2">
        <v>684663</v>
      </c>
      <c r="N71" s="2" t="s">
        <v>2950</v>
      </c>
      <c r="O71" t="s">
        <v>253</v>
      </c>
      <c r="P71" t="s">
        <v>152</v>
      </c>
      <c r="Q71" t="s">
        <v>72</v>
      </c>
      <c r="R71">
        <v>3.4</v>
      </c>
      <c r="S71" t="s">
        <v>2952</v>
      </c>
    </row>
    <row r="72" spans="1:19" x14ac:dyDescent="0.3">
      <c r="A72" t="s">
        <v>321</v>
      </c>
      <c r="B72" t="s">
        <v>187</v>
      </c>
      <c r="C72" t="s">
        <v>249</v>
      </c>
      <c r="D72" t="s">
        <v>24</v>
      </c>
      <c r="E72">
        <v>41</v>
      </c>
      <c r="F72" t="s">
        <v>2946</v>
      </c>
      <c r="G72" t="s">
        <v>322</v>
      </c>
      <c r="H72" t="s">
        <v>2369</v>
      </c>
      <c r="I72" t="s">
        <v>271</v>
      </c>
      <c r="J72" t="s">
        <v>40</v>
      </c>
      <c r="K72" t="s">
        <v>48</v>
      </c>
      <c r="L72" s="1">
        <v>43161</v>
      </c>
      <c r="M72" s="2">
        <v>891102</v>
      </c>
      <c r="N72" s="2" t="s">
        <v>2950</v>
      </c>
      <c r="O72" t="s">
        <v>111</v>
      </c>
      <c r="P72" t="s">
        <v>205</v>
      </c>
      <c r="Q72" t="s">
        <v>72</v>
      </c>
      <c r="R72">
        <v>8.1999999999999993</v>
      </c>
      <c r="S72" t="s">
        <v>2951</v>
      </c>
    </row>
    <row r="73" spans="1:19" x14ac:dyDescent="0.3">
      <c r="A73" t="s">
        <v>325</v>
      </c>
      <c r="B73" t="s">
        <v>190</v>
      </c>
      <c r="C73" t="s">
        <v>104</v>
      </c>
      <c r="D73" t="s">
        <v>24</v>
      </c>
      <c r="E73">
        <v>48</v>
      </c>
      <c r="F73" t="s">
        <v>2947</v>
      </c>
      <c r="G73" t="s">
        <v>324</v>
      </c>
      <c r="H73" t="s">
        <v>2369</v>
      </c>
      <c r="I73" t="s">
        <v>271</v>
      </c>
      <c r="J73" t="s">
        <v>143</v>
      </c>
      <c r="K73" t="s">
        <v>35</v>
      </c>
      <c r="L73" s="1">
        <v>44071</v>
      </c>
      <c r="M73" s="2">
        <v>507609</v>
      </c>
      <c r="N73" s="2" t="s">
        <v>2950</v>
      </c>
      <c r="O73" t="s">
        <v>41</v>
      </c>
      <c r="P73" t="s">
        <v>21</v>
      </c>
      <c r="Q73" t="s">
        <v>65</v>
      </c>
      <c r="R73">
        <v>5.7</v>
      </c>
      <c r="S73" t="s">
        <v>2953</v>
      </c>
    </row>
    <row r="74" spans="1:19" x14ac:dyDescent="0.3">
      <c r="A74" t="s">
        <v>331</v>
      </c>
      <c r="B74" t="s">
        <v>326</v>
      </c>
      <c r="C74" t="s">
        <v>327</v>
      </c>
      <c r="D74" t="s">
        <v>45</v>
      </c>
      <c r="E74">
        <v>45</v>
      </c>
      <c r="F74" t="s">
        <v>2946</v>
      </c>
      <c r="G74" t="s">
        <v>328</v>
      </c>
      <c r="H74" t="s">
        <v>329</v>
      </c>
      <c r="I74" t="s">
        <v>368</v>
      </c>
      <c r="J74" t="s">
        <v>330</v>
      </c>
      <c r="K74" t="s">
        <v>48</v>
      </c>
      <c r="L74" s="1">
        <v>44133</v>
      </c>
      <c r="M74" s="2">
        <v>513121</v>
      </c>
      <c r="N74" s="2" t="s">
        <v>2950</v>
      </c>
      <c r="O74" t="s">
        <v>130</v>
      </c>
      <c r="P74" t="s">
        <v>205</v>
      </c>
      <c r="Q74" t="s">
        <v>79</v>
      </c>
      <c r="R74">
        <v>5.5</v>
      </c>
      <c r="S74" t="s">
        <v>2953</v>
      </c>
    </row>
    <row r="75" spans="1:19" x14ac:dyDescent="0.3">
      <c r="A75" t="s">
        <v>333</v>
      </c>
      <c r="B75" t="s">
        <v>148</v>
      </c>
      <c r="C75" t="s">
        <v>221</v>
      </c>
      <c r="D75" t="s">
        <v>24</v>
      </c>
      <c r="E75">
        <v>24</v>
      </c>
      <c r="F75" t="s">
        <v>2945</v>
      </c>
      <c r="G75" t="s">
        <v>2370</v>
      </c>
      <c r="H75" t="s">
        <v>2503</v>
      </c>
      <c r="I75" t="s">
        <v>394</v>
      </c>
      <c r="J75" t="s">
        <v>332</v>
      </c>
      <c r="K75" t="s">
        <v>48</v>
      </c>
      <c r="M75" s="2">
        <v>712608</v>
      </c>
      <c r="N75" s="2" t="s">
        <v>2950</v>
      </c>
      <c r="O75" t="s">
        <v>111</v>
      </c>
      <c r="P75" t="s">
        <v>21</v>
      </c>
      <c r="Q75" t="s">
        <v>158</v>
      </c>
      <c r="R75">
        <v>3.6</v>
      </c>
      <c r="S75" t="s">
        <v>2952</v>
      </c>
    </row>
    <row r="76" spans="1:19" x14ac:dyDescent="0.3">
      <c r="A76" t="s">
        <v>335</v>
      </c>
      <c r="B76" t="s">
        <v>259</v>
      </c>
      <c r="C76" t="s">
        <v>18</v>
      </c>
      <c r="D76" t="s">
        <v>24</v>
      </c>
      <c r="E76">
        <v>49</v>
      </c>
      <c r="F76" t="s">
        <v>2947</v>
      </c>
      <c r="G76" t="s">
        <v>334</v>
      </c>
      <c r="H76" t="s">
        <v>2369</v>
      </c>
      <c r="I76" t="s">
        <v>368</v>
      </c>
      <c r="J76" t="s">
        <v>215</v>
      </c>
      <c r="K76" t="s">
        <v>35</v>
      </c>
      <c r="L76" s="1">
        <v>42693</v>
      </c>
      <c r="M76" s="2">
        <v>681761</v>
      </c>
      <c r="N76" s="2" t="s">
        <v>2950</v>
      </c>
      <c r="O76" t="s">
        <v>253</v>
      </c>
      <c r="P76" t="s">
        <v>353</v>
      </c>
      <c r="Q76" t="s">
        <v>72</v>
      </c>
      <c r="R76">
        <v>9.5</v>
      </c>
      <c r="S76" t="s">
        <v>2951</v>
      </c>
    </row>
    <row r="77" spans="1:19" x14ac:dyDescent="0.3">
      <c r="A77" t="s">
        <v>339</v>
      </c>
      <c r="B77" t="s">
        <v>127</v>
      </c>
      <c r="C77" t="s">
        <v>336</v>
      </c>
      <c r="D77" t="s">
        <v>24</v>
      </c>
      <c r="E77">
        <v>52</v>
      </c>
      <c r="F77" t="s">
        <v>2947</v>
      </c>
      <c r="G77" t="s">
        <v>337</v>
      </c>
      <c r="H77" t="s">
        <v>2369</v>
      </c>
      <c r="I77" t="s">
        <v>235</v>
      </c>
      <c r="J77" t="s">
        <v>338</v>
      </c>
      <c r="K77" t="s">
        <v>48</v>
      </c>
      <c r="L77" s="1">
        <v>43155</v>
      </c>
      <c r="M77" s="2">
        <v>141437</v>
      </c>
      <c r="N77" s="2" t="s">
        <v>2949</v>
      </c>
      <c r="O77" t="s">
        <v>41</v>
      </c>
      <c r="P77" t="s">
        <v>21</v>
      </c>
      <c r="Q77" t="s">
        <v>79</v>
      </c>
      <c r="R77">
        <v>8.1999999999999993</v>
      </c>
      <c r="S77" t="s">
        <v>2951</v>
      </c>
    </row>
    <row r="78" spans="1:19" x14ac:dyDescent="0.3">
      <c r="A78" t="s">
        <v>342</v>
      </c>
      <c r="B78" t="s">
        <v>340</v>
      </c>
      <c r="C78" t="s">
        <v>44</v>
      </c>
      <c r="D78" t="s">
        <v>24</v>
      </c>
      <c r="E78">
        <v>33</v>
      </c>
      <c r="F78" t="s">
        <v>2946</v>
      </c>
      <c r="G78" t="s">
        <v>2422</v>
      </c>
      <c r="H78" t="s">
        <v>341</v>
      </c>
      <c r="I78" t="s">
        <v>209</v>
      </c>
      <c r="J78" t="s">
        <v>122</v>
      </c>
      <c r="K78" t="s">
        <v>71</v>
      </c>
      <c r="L78" s="1">
        <v>42539</v>
      </c>
      <c r="M78" s="2">
        <v>437311</v>
      </c>
      <c r="N78" s="2" t="s">
        <v>2948</v>
      </c>
      <c r="O78" t="s">
        <v>111</v>
      </c>
      <c r="P78" t="s">
        <v>21</v>
      </c>
      <c r="Q78" t="s">
        <v>72</v>
      </c>
      <c r="R78">
        <v>9.9</v>
      </c>
      <c r="S78" t="s">
        <v>2951</v>
      </c>
    </row>
    <row r="79" spans="1:19" x14ac:dyDescent="0.3">
      <c r="A79" t="s">
        <v>344</v>
      </c>
      <c r="B79" t="s">
        <v>212</v>
      </c>
      <c r="C79" t="s">
        <v>213</v>
      </c>
      <c r="D79" t="s">
        <v>24</v>
      </c>
      <c r="E79">
        <v>58</v>
      </c>
      <c r="F79" t="s">
        <v>2947</v>
      </c>
      <c r="G79" t="s">
        <v>2371</v>
      </c>
      <c r="H79" t="s">
        <v>2504</v>
      </c>
      <c r="I79" t="s">
        <v>100</v>
      </c>
      <c r="J79" t="s">
        <v>343</v>
      </c>
      <c r="K79" t="s">
        <v>28</v>
      </c>
      <c r="L79" s="1">
        <v>44509</v>
      </c>
      <c r="N79" s="2" t="s">
        <v>2369</v>
      </c>
      <c r="O79" t="s">
        <v>41</v>
      </c>
      <c r="P79" t="s">
        <v>21</v>
      </c>
      <c r="Q79" t="s">
        <v>244</v>
      </c>
      <c r="R79">
        <v>4.5</v>
      </c>
      <c r="S79" t="s">
        <v>2952</v>
      </c>
    </row>
    <row r="80" spans="1:19" x14ac:dyDescent="0.3">
      <c r="A80" t="s">
        <v>346</v>
      </c>
      <c r="B80" t="s">
        <v>74</v>
      </c>
      <c r="C80" t="s">
        <v>62</v>
      </c>
      <c r="D80" t="s">
        <v>45</v>
      </c>
      <c r="E80">
        <v>26</v>
      </c>
      <c r="F80" t="s">
        <v>2945</v>
      </c>
      <c r="G80" t="s">
        <v>345</v>
      </c>
      <c r="H80" t="s">
        <v>2505</v>
      </c>
      <c r="I80" t="s">
        <v>271</v>
      </c>
      <c r="K80" t="s">
        <v>28</v>
      </c>
      <c r="L80" s="1">
        <v>43542</v>
      </c>
      <c r="M80" s="2">
        <v>248720</v>
      </c>
      <c r="N80" s="2" t="s">
        <v>2948</v>
      </c>
      <c r="O80" t="s">
        <v>130</v>
      </c>
      <c r="P80" t="s">
        <v>205</v>
      </c>
      <c r="Q80" t="s">
        <v>244</v>
      </c>
      <c r="R80">
        <v>7.2</v>
      </c>
      <c r="S80" t="s">
        <v>2953</v>
      </c>
    </row>
    <row r="81" spans="1:19" x14ac:dyDescent="0.3">
      <c r="A81" t="s">
        <v>350</v>
      </c>
      <c r="B81" t="s">
        <v>347</v>
      </c>
      <c r="C81" t="s">
        <v>348</v>
      </c>
      <c r="D81" t="s">
        <v>24</v>
      </c>
      <c r="E81">
        <v>27</v>
      </c>
      <c r="F81" t="s">
        <v>2945</v>
      </c>
      <c r="G81" t="s">
        <v>349</v>
      </c>
      <c r="H81" t="s">
        <v>2506</v>
      </c>
      <c r="I81" t="s">
        <v>592</v>
      </c>
      <c r="J81" t="s">
        <v>34</v>
      </c>
      <c r="K81" t="s">
        <v>35</v>
      </c>
      <c r="L81" s="1">
        <v>44712</v>
      </c>
      <c r="N81" s="2" t="s">
        <v>2369</v>
      </c>
      <c r="O81" t="s">
        <v>198</v>
      </c>
      <c r="P81" t="s">
        <v>90</v>
      </c>
      <c r="Q81" t="s">
        <v>244</v>
      </c>
      <c r="R81">
        <v>4</v>
      </c>
      <c r="S81" t="s">
        <v>2952</v>
      </c>
    </row>
    <row r="82" spans="1:19" x14ac:dyDescent="0.3">
      <c r="A82" t="s">
        <v>2315</v>
      </c>
      <c r="B82" t="s">
        <v>233</v>
      </c>
      <c r="C82" t="s">
        <v>82</v>
      </c>
      <c r="D82" t="s">
        <v>45</v>
      </c>
      <c r="E82">
        <v>32</v>
      </c>
      <c r="F82" t="s">
        <v>2946</v>
      </c>
      <c r="G82" t="s">
        <v>2369</v>
      </c>
      <c r="H82" t="s">
        <v>2507</v>
      </c>
      <c r="I82" t="s">
        <v>209</v>
      </c>
      <c r="J82" t="s">
        <v>166</v>
      </c>
      <c r="K82" t="s">
        <v>48</v>
      </c>
      <c r="L82" s="1">
        <v>43844</v>
      </c>
      <c r="M82" s="2">
        <v>261276</v>
      </c>
      <c r="N82" s="2" t="s">
        <v>2948</v>
      </c>
      <c r="O82" t="s">
        <v>41</v>
      </c>
      <c r="P82" t="s">
        <v>205</v>
      </c>
      <c r="Q82" t="s">
        <v>158</v>
      </c>
      <c r="R82">
        <v>6.3</v>
      </c>
      <c r="S82" t="s">
        <v>2953</v>
      </c>
    </row>
    <row r="83" spans="1:19" x14ac:dyDescent="0.3">
      <c r="A83" t="s">
        <v>2316</v>
      </c>
      <c r="B83" t="s">
        <v>56</v>
      </c>
      <c r="C83" t="s">
        <v>146</v>
      </c>
      <c r="D83" t="s">
        <v>45</v>
      </c>
      <c r="E83">
        <v>47</v>
      </c>
      <c r="F83" t="s">
        <v>2947</v>
      </c>
      <c r="G83" t="s">
        <v>2423</v>
      </c>
      <c r="H83" t="s">
        <v>2508</v>
      </c>
      <c r="I83" t="s">
        <v>368</v>
      </c>
      <c r="J83" t="s">
        <v>227</v>
      </c>
      <c r="K83" t="s">
        <v>35</v>
      </c>
      <c r="L83" s="1">
        <v>43715</v>
      </c>
      <c r="M83" s="2">
        <v>230840</v>
      </c>
      <c r="N83" s="2" t="s">
        <v>2948</v>
      </c>
      <c r="O83" t="s">
        <v>198</v>
      </c>
      <c r="P83" t="s">
        <v>353</v>
      </c>
      <c r="Q83" t="s">
        <v>158</v>
      </c>
      <c r="R83">
        <v>6.9</v>
      </c>
      <c r="S83" t="s">
        <v>2953</v>
      </c>
    </row>
    <row r="84" spans="1:19" x14ac:dyDescent="0.3">
      <c r="A84" t="s">
        <v>354</v>
      </c>
      <c r="B84" t="s">
        <v>212</v>
      </c>
      <c r="C84" t="s">
        <v>104</v>
      </c>
      <c r="D84" t="s">
        <v>24</v>
      </c>
      <c r="E84">
        <v>37</v>
      </c>
      <c r="F84" t="s">
        <v>2946</v>
      </c>
      <c r="G84" t="s">
        <v>351</v>
      </c>
      <c r="H84" t="s">
        <v>352</v>
      </c>
      <c r="I84" t="s">
        <v>100</v>
      </c>
      <c r="K84" t="s">
        <v>71</v>
      </c>
      <c r="L84" s="1">
        <v>42827</v>
      </c>
      <c r="M84" s="2">
        <v>140426</v>
      </c>
      <c r="N84" s="2" t="s">
        <v>2949</v>
      </c>
      <c r="O84" t="s">
        <v>41</v>
      </c>
      <c r="P84" t="s">
        <v>353</v>
      </c>
      <c r="Q84" t="s">
        <v>65</v>
      </c>
      <c r="R84">
        <v>9.1</v>
      </c>
      <c r="S84" t="s">
        <v>2951</v>
      </c>
    </row>
    <row r="85" spans="1:19" x14ac:dyDescent="0.3">
      <c r="A85" t="s">
        <v>358</v>
      </c>
      <c r="B85" t="s">
        <v>97</v>
      </c>
      <c r="C85" t="s">
        <v>229</v>
      </c>
      <c r="D85" t="s">
        <v>24</v>
      </c>
      <c r="E85">
        <v>38</v>
      </c>
      <c r="F85" t="s">
        <v>2946</v>
      </c>
      <c r="G85" t="s">
        <v>355</v>
      </c>
      <c r="H85" t="s">
        <v>356</v>
      </c>
      <c r="I85" t="s">
        <v>100</v>
      </c>
      <c r="J85" t="s">
        <v>357</v>
      </c>
      <c r="K85" t="s">
        <v>28</v>
      </c>
      <c r="L85" s="1">
        <v>42096</v>
      </c>
      <c r="M85" s="2">
        <v>314639</v>
      </c>
      <c r="N85" s="2" t="s">
        <v>2948</v>
      </c>
      <c r="O85" t="s">
        <v>130</v>
      </c>
      <c r="P85" t="s">
        <v>90</v>
      </c>
      <c r="Q85" t="s">
        <v>72</v>
      </c>
      <c r="R85">
        <v>11.3</v>
      </c>
      <c r="S85" t="s">
        <v>2951</v>
      </c>
    </row>
    <row r="86" spans="1:19" x14ac:dyDescent="0.3">
      <c r="A86" t="s">
        <v>361</v>
      </c>
      <c r="B86" t="s">
        <v>359</v>
      </c>
      <c r="C86" t="s">
        <v>336</v>
      </c>
      <c r="D86" t="s">
        <v>24</v>
      </c>
      <c r="E86">
        <v>23</v>
      </c>
      <c r="F86" t="s">
        <v>2945</v>
      </c>
      <c r="G86" t="s">
        <v>360</v>
      </c>
      <c r="H86" t="s">
        <v>2369</v>
      </c>
      <c r="I86" t="s">
        <v>592</v>
      </c>
      <c r="J86" t="s">
        <v>157</v>
      </c>
      <c r="K86" t="s">
        <v>71</v>
      </c>
      <c r="L86" s="1">
        <v>44793</v>
      </c>
      <c r="M86" s="2">
        <v>226726</v>
      </c>
      <c r="N86" s="2" t="s">
        <v>2948</v>
      </c>
      <c r="O86" t="s">
        <v>41</v>
      </c>
      <c r="P86" t="s">
        <v>353</v>
      </c>
      <c r="Q86" t="s">
        <v>244</v>
      </c>
      <c r="R86">
        <v>3.7</v>
      </c>
      <c r="S86" t="s">
        <v>2952</v>
      </c>
    </row>
    <row r="87" spans="1:19" x14ac:dyDescent="0.3">
      <c r="A87" t="s">
        <v>366</v>
      </c>
      <c r="B87" t="s">
        <v>103</v>
      </c>
      <c r="C87" t="s">
        <v>362</v>
      </c>
      <c r="D87" t="s">
        <v>45</v>
      </c>
      <c r="E87">
        <v>26</v>
      </c>
      <c r="F87" t="s">
        <v>2945</v>
      </c>
      <c r="G87" t="s">
        <v>363</v>
      </c>
      <c r="H87" t="s">
        <v>364</v>
      </c>
      <c r="I87" t="s">
        <v>517</v>
      </c>
      <c r="J87" t="s">
        <v>365</v>
      </c>
      <c r="K87" t="s">
        <v>71</v>
      </c>
      <c r="L87" s="1">
        <v>43932</v>
      </c>
      <c r="M87" s="2">
        <v>136284</v>
      </c>
      <c r="N87" s="2" t="s">
        <v>2949</v>
      </c>
      <c r="O87" t="s">
        <v>111</v>
      </c>
      <c r="P87" t="s">
        <v>21</v>
      </c>
      <c r="Q87" t="s">
        <v>65</v>
      </c>
      <c r="R87">
        <v>6.1</v>
      </c>
      <c r="S87" t="s">
        <v>2953</v>
      </c>
    </row>
    <row r="88" spans="1:19" x14ac:dyDescent="0.3">
      <c r="A88" t="s">
        <v>369</v>
      </c>
      <c r="B88" t="s">
        <v>416</v>
      </c>
      <c r="C88" t="s">
        <v>273</v>
      </c>
      <c r="D88" t="s">
        <v>24</v>
      </c>
      <c r="E88">
        <v>45</v>
      </c>
      <c r="F88" t="s">
        <v>2946</v>
      </c>
      <c r="G88" t="s">
        <v>367</v>
      </c>
      <c r="H88" t="s">
        <v>2509</v>
      </c>
      <c r="I88" t="s">
        <v>368</v>
      </c>
      <c r="J88" t="s">
        <v>192</v>
      </c>
      <c r="K88" t="s">
        <v>28</v>
      </c>
      <c r="L88" s="1">
        <v>42821</v>
      </c>
      <c r="M88" s="2">
        <v>846151</v>
      </c>
      <c r="N88" s="2" t="s">
        <v>2950</v>
      </c>
      <c r="O88" t="s">
        <v>216</v>
      </c>
      <c r="P88" t="s">
        <v>21</v>
      </c>
      <c r="Q88" t="s">
        <v>79</v>
      </c>
      <c r="R88">
        <v>9.1</v>
      </c>
      <c r="S88" t="s">
        <v>2951</v>
      </c>
    </row>
    <row r="89" spans="1:19" x14ac:dyDescent="0.3">
      <c r="A89" t="s">
        <v>372</v>
      </c>
      <c r="B89" t="s">
        <v>297</v>
      </c>
      <c r="C89" t="s">
        <v>229</v>
      </c>
      <c r="D89" t="s">
        <v>24</v>
      </c>
      <c r="E89">
        <v>56</v>
      </c>
      <c r="F89" t="s">
        <v>2947</v>
      </c>
      <c r="G89" t="s">
        <v>370</v>
      </c>
      <c r="H89" t="s">
        <v>371</v>
      </c>
      <c r="I89" t="s">
        <v>368</v>
      </c>
      <c r="J89" t="s">
        <v>330</v>
      </c>
      <c r="K89" t="s">
        <v>48</v>
      </c>
      <c r="L89" s="1">
        <v>44745</v>
      </c>
      <c r="M89" s="2">
        <v>348214</v>
      </c>
      <c r="N89" s="2" t="s">
        <v>2948</v>
      </c>
      <c r="O89" t="s">
        <v>253</v>
      </c>
      <c r="P89" t="s">
        <v>90</v>
      </c>
      <c r="Q89" t="s">
        <v>79</v>
      </c>
      <c r="R89">
        <v>4.2</v>
      </c>
      <c r="S89" t="s">
        <v>2952</v>
      </c>
    </row>
    <row r="90" spans="1:19" x14ac:dyDescent="0.3">
      <c r="A90" t="s">
        <v>374</v>
      </c>
      <c r="B90" t="s">
        <v>148</v>
      </c>
      <c r="C90" t="s">
        <v>213</v>
      </c>
      <c r="D90" t="s">
        <v>45</v>
      </c>
      <c r="E90">
        <v>52</v>
      </c>
      <c r="F90" t="s">
        <v>2947</v>
      </c>
      <c r="G90" t="s">
        <v>2416</v>
      </c>
      <c r="H90" t="s">
        <v>2510</v>
      </c>
      <c r="I90" t="s">
        <v>53</v>
      </c>
      <c r="J90" t="s">
        <v>373</v>
      </c>
      <c r="K90" t="s">
        <v>48</v>
      </c>
      <c r="L90" s="1">
        <v>42855</v>
      </c>
      <c r="M90" s="2">
        <v>801634</v>
      </c>
      <c r="N90" s="2" t="s">
        <v>2950</v>
      </c>
      <c r="O90" t="s">
        <v>130</v>
      </c>
      <c r="P90" t="s">
        <v>152</v>
      </c>
      <c r="Q90" t="s">
        <v>158</v>
      </c>
      <c r="R90">
        <v>9</v>
      </c>
      <c r="S90" t="s">
        <v>2951</v>
      </c>
    </row>
    <row r="91" spans="1:19" x14ac:dyDescent="0.3">
      <c r="A91" t="s">
        <v>376</v>
      </c>
      <c r="B91" t="s">
        <v>224</v>
      </c>
      <c r="C91" t="s">
        <v>327</v>
      </c>
      <c r="D91" t="s">
        <v>24</v>
      </c>
      <c r="E91">
        <v>47</v>
      </c>
      <c r="F91" t="s">
        <v>2947</v>
      </c>
      <c r="G91" t="s">
        <v>375</v>
      </c>
      <c r="H91" t="s">
        <v>2511</v>
      </c>
      <c r="I91" t="s">
        <v>485</v>
      </c>
      <c r="J91" t="s">
        <v>262</v>
      </c>
      <c r="K91" t="s">
        <v>48</v>
      </c>
      <c r="L91" s="1">
        <v>42754</v>
      </c>
      <c r="M91" s="2">
        <v>199361</v>
      </c>
      <c r="N91" s="2" t="s">
        <v>2949</v>
      </c>
      <c r="O91" t="s">
        <v>216</v>
      </c>
      <c r="P91" t="s">
        <v>90</v>
      </c>
      <c r="Q91" t="s">
        <v>158</v>
      </c>
      <c r="R91">
        <v>9.3000000000000007</v>
      </c>
      <c r="S91" t="s">
        <v>2951</v>
      </c>
    </row>
    <row r="92" spans="1:19" x14ac:dyDescent="0.3">
      <c r="A92" t="s">
        <v>380</v>
      </c>
      <c r="B92" t="s">
        <v>377</v>
      </c>
      <c r="C92" t="s">
        <v>108</v>
      </c>
      <c r="D92" t="s">
        <v>45</v>
      </c>
      <c r="E92">
        <v>28</v>
      </c>
      <c r="F92" t="s">
        <v>2945</v>
      </c>
      <c r="G92" t="s">
        <v>378</v>
      </c>
      <c r="H92" t="s">
        <v>2512</v>
      </c>
      <c r="I92" t="s">
        <v>485</v>
      </c>
      <c r="J92" t="s">
        <v>379</v>
      </c>
      <c r="K92" t="s">
        <v>35</v>
      </c>
      <c r="L92" s="1">
        <v>44824</v>
      </c>
      <c r="N92" s="2" t="s">
        <v>2369</v>
      </c>
      <c r="O92" t="s">
        <v>41</v>
      </c>
      <c r="P92" t="s">
        <v>21</v>
      </c>
      <c r="Q92" t="s">
        <v>72</v>
      </c>
      <c r="R92">
        <v>3.6</v>
      </c>
      <c r="S92" t="s">
        <v>2952</v>
      </c>
    </row>
    <row r="93" spans="1:19" x14ac:dyDescent="0.3">
      <c r="A93" t="s">
        <v>384</v>
      </c>
      <c r="B93" t="s">
        <v>132</v>
      </c>
      <c r="C93" t="s">
        <v>336</v>
      </c>
      <c r="D93" t="s">
        <v>24</v>
      </c>
      <c r="E93">
        <v>35</v>
      </c>
      <c r="F93" t="s">
        <v>2946</v>
      </c>
      <c r="G93" t="s">
        <v>381</v>
      </c>
      <c r="H93" t="s">
        <v>382</v>
      </c>
      <c r="I93" t="s">
        <v>209</v>
      </c>
      <c r="J93" t="s">
        <v>383</v>
      </c>
      <c r="K93" t="s">
        <v>35</v>
      </c>
      <c r="L93" s="1">
        <v>44087</v>
      </c>
      <c r="M93" s="2">
        <v>669648</v>
      </c>
      <c r="N93" s="2" t="s">
        <v>2950</v>
      </c>
      <c r="O93" t="s">
        <v>130</v>
      </c>
      <c r="P93" t="s">
        <v>205</v>
      </c>
      <c r="Q93" t="s">
        <v>79</v>
      </c>
      <c r="R93">
        <v>5.7</v>
      </c>
      <c r="S93" t="s">
        <v>2953</v>
      </c>
    </row>
    <row r="94" spans="1:19" x14ac:dyDescent="0.3">
      <c r="A94" t="s">
        <v>389</v>
      </c>
      <c r="B94" t="s">
        <v>385</v>
      </c>
      <c r="C94" t="s">
        <v>44</v>
      </c>
      <c r="D94" t="s">
        <v>24</v>
      </c>
      <c r="E94">
        <v>29</v>
      </c>
      <c r="F94" t="s">
        <v>2945</v>
      </c>
      <c r="G94" t="s">
        <v>386</v>
      </c>
      <c r="H94" t="s">
        <v>387</v>
      </c>
      <c r="I94" t="s">
        <v>271</v>
      </c>
      <c r="J94" t="s">
        <v>388</v>
      </c>
      <c r="K94" t="s">
        <v>71</v>
      </c>
      <c r="L94" s="1">
        <v>44598</v>
      </c>
      <c r="M94" s="2">
        <v>784791</v>
      </c>
      <c r="N94" s="2" t="s">
        <v>2950</v>
      </c>
      <c r="O94" t="s">
        <v>198</v>
      </c>
      <c r="P94" t="s">
        <v>21</v>
      </c>
      <c r="Q94" t="s">
        <v>72</v>
      </c>
      <c r="R94">
        <v>4.3</v>
      </c>
      <c r="S94" t="s">
        <v>2952</v>
      </c>
    </row>
    <row r="95" spans="1:19" x14ac:dyDescent="0.3">
      <c r="A95" t="s">
        <v>391</v>
      </c>
      <c r="B95" t="s">
        <v>119</v>
      </c>
      <c r="C95" t="s">
        <v>141</v>
      </c>
      <c r="D95" t="s">
        <v>24</v>
      </c>
      <c r="E95">
        <v>40</v>
      </c>
      <c r="F95" t="s">
        <v>2946</v>
      </c>
      <c r="G95" t="s">
        <v>2372</v>
      </c>
      <c r="H95" t="s">
        <v>2369</v>
      </c>
      <c r="I95" t="s">
        <v>53</v>
      </c>
      <c r="J95" t="s">
        <v>390</v>
      </c>
      <c r="K95" t="s">
        <v>71</v>
      </c>
      <c r="L95" s="1">
        <v>42770</v>
      </c>
      <c r="M95" s="2">
        <v>299899</v>
      </c>
      <c r="N95" s="2" t="s">
        <v>2948</v>
      </c>
      <c r="O95" t="s">
        <v>111</v>
      </c>
      <c r="P95" t="s">
        <v>205</v>
      </c>
      <c r="Q95" t="s">
        <v>244</v>
      </c>
      <c r="R95">
        <v>9.1</v>
      </c>
      <c r="S95" t="s">
        <v>2951</v>
      </c>
    </row>
    <row r="96" spans="1:19" x14ac:dyDescent="0.3">
      <c r="A96" t="s">
        <v>2317</v>
      </c>
      <c r="B96" t="s">
        <v>286</v>
      </c>
      <c r="C96" t="s">
        <v>62</v>
      </c>
      <c r="D96" t="s">
        <v>24</v>
      </c>
      <c r="E96">
        <v>57</v>
      </c>
      <c r="F96" t="s">
        <v>2947</v>
      </c>
      <c r="G96" t="s">
        <v>392</v>
      </c>
      <c r="H96" t="s">
        <v>2513</v>
      </c>
      <c r="I96" t="s">
        <v>209</v>
      </c>
      <c r="J96" t="s">
        <v>393</v>
      </c>
      <c r="K96" t="s">
        <v>71</v>
      </c>
      <c r="L96" s="1">
        <v>44306</v>
      </c>
      <c r="M96" s="2">
        <v>315203</v>
      </c>
      <c r="N96" s="2" t="s">
        <v>2948</v>
      </c>
      <c r="O96" t="s">
        <v>111</v>
      </c>
      <c r="P96" t="s">
        <v>152</v>
      </c>
      <c r="Q96" t="s">
        <v>158</v>
      </c>
      <c r="R96">
        <v>5.0999999999999996</v>
      </c>
      <c r="S96" t="s">
        <v>2953</v>
      </c>
    </row>
    <row r="97" spans="1:19" x14ac:dyDescent="0.3">
      <c r="A97" t="s">
        <v>396</v>
      </c>
      <c r="B97" t="s">
        <v>148</v>
      </c>
      <c r="C97" t="s">
        <v>161</v>
      </c>
      <c r="D97" t="s">
        <v>24</v>
      </c>
      <c r="E97">
        <v>31</v>
      </c>
      <c r="F97" t="s">
        <v>2946</v>
      </c>
      <c r="G97" t="s">
        <v>2424</v>
      </c>
      <c r="H97" t="s">
        <v>2514</v>
      </c>
      <c r="I97" t="s">
        <v>394</v>
      </c>
      <c r="J97" t="s">
        <v>395</v>
      </c>
      <c r="K97" t="s">
        <v>35</v>
      </c>
      <c r="L97" s="1">
        <v>43915</v>
      </c>
      <c r="M97" s="2">
        <v>824163</v>
      </c>
      <c r="N97" s="2" t="s">
        <v>2950</v>
      </c>
      <c r="O97" t="s">
        <v>41</v>
      </c>
      <c r="P97" t="s">
        <v>152</v>
      </c>
      <c r="Q97" t="s">
        <v>244</v>
      </c>
      <c r="R97">
        <v>6.1</v>
      </c>
      <c r="S97" t="s">
        <v>2953</v>
      </c>
    </row>
    <row r="98" spans="1:19" x14ac:dyDescent="0.3">
      <c r="A98" t="s">
        <v>399</v>
      </c>
      <c r="B98" t="s">
        <v>187</v>
      </c>
      <c r="C98" t="s">
        <v>221</v>
      </c>
      <c r="D98" t="s">
        <v>24</v>
      </c>
      <c r="E98">
        <v>38</v>
      </c>
      <c r="F98" t="s">
        <v>2946</v>
      </c>
      <c r="G98" t="s">
        <v>1904</v>
      </c>
      <c r="H98" t="s">
        <v>397</v>
      </c>
      <c r="I98" t="s">
        <v>485</v>
      </c>
      <c r="J98" t="s">
        <v>398</v>
      </c>
      <c r="K98" t="s">
        <v>28</v>
      </c>
      <c r="L98" s="1">
        <v>42617</v>
      </c>
      <c r="M98" s="2">
        <v>484620</v>
      </c>
      <c r="N98" s="2" t="s">
        <v>2948</v>
      </c>
      <c r="O98" t="s">
        <v>41</v>
      </c>
      <c r="P98" t="s">
        <v>353</v>
      </c>
      <c r="Q98" t="s">
        <v>65</v>
      </c>
      <c r="R98">
        <v>10.1</v>
      </c>
      <c r="S98" t="s">
        <v>2951</v>
      </c>
    </row>
    <row r="99" spans="1:19" x14ac:dyDescent="0.3">
      <c r="A99" t="s">
        <v>402</v>
      </c>
      <c r="B99" t="s">
        <v>212</v>
      </c>
      <c r="C99" t="s">
        <v>133</v>
      </c>
      <c r="D99" t="s">
        <v>45</v>
      </c>
      <c r="E99">
        <v>47</v>
      </c>
      <c r="F99" t="s">
        <v>2947</v>
      </c>
      <c r="G99" t="s">
        <v>400</v>
      </c>
      <c r="H99" t="s">
        <v>2515</v>
      </c>
      <c r="I99" t="s">
        <v>394</v>
      </c>
      <c r="J99" t="s">
        <v>401</v>
      </c>
      <c r="K99" t="s">
        <v>35</v>
      </c>
      <c r="L99" s="1">
        <v>43852</v>
      </c>
      <c r="M99" s="2">
        <v>740830</v>
      </c>
      <c r="N99" s="2" t="s">
        <v>2950</v>
      </c>
      <c r="O99" t="s">
        <v>216</v>
      </c>
      <c r="P99" t="s">
        <v>152</v>
      </c>
      <c r="Q99" t="s">
        <v>244</v>
      </c>
      <c r="R99">
        <v>6.3</v>
      </c>
      <c r="S99" t="s">
        <v>2953</v>
      </c>
    </row>
    <row r="100" spans="1:19" x14ac:dyDescent="0.3">
      <c r="A100" t="s">
        <v>405</v>
      </c>
      <c r="B100" t="s">
        <v>119</v>
      </c>
      <c r="C100" t="s">
        <v>183</v>
      </c>
      <c r="D100" t="s">
        <v>45</v>
      </c>
      <c r="E100">
        <v>47</v>
      </c>
      <c r="F100" t="s">
        <v>2947</v>
      </c>
      <c r="G100" t="s">
        <v>403</v>
      </c>
      <c r="H100" t="s">
        <v>404</v>
      </c>
      <c r="I100" t="s">
        <v>271</v>
      </c>
      <c r="J100" t="s">
        <v>388</v>
      </c>
      <c r="K100" t="s">
        <v>71</v>
      </c>
      <c r="L100" s="1">
        <v>44350</v>
      </c>
      <c r="M100" s="2">
        <v>705637</v>
      </c>
      <c r="N100" s="2" t="s">
        <v>2950</v>
      </c>
      <c r="O100" t="s">
        <v>130</v>
      </c>
      <c r="P100" t="s">
        <v>353</v>
      </c>
      <c r="Q100" t="s">
        <v>72</v>
      </c>
      <c r="R100">
        <v>4.9000000000000004</v>
      </c>
      <c r="S100" t="s">
        <v>2952</v>
      </c>
    </row>
    <row r="101" spans="1:19" x14ac:dyDescent="0.3">
      <c r="A101" t="s">
        <v>407</v>
      </c>
      <c r="B101" t="s">
        <v>286</v>
      </c>
      <c r="C101" t="s">
        <v>44</v>
      </c>
      <c r="D101" t="s">
        <v>24</v>
      </c>
      <c r="E101">
        <v>31</v>
      </c>
      <c r="F101" t="s">
        <v>2946</v>
      </c>
      <c r="G101" t="s">
        <v>406</v>
      </c>
      <c r="H101" t="s">
        <v>2516</v>
      </c>
      <c r="I101" t="s">
        <v>209</v>
      </c>
      <c r="J101" t="s">
        <v>383</v>
      </c>
      <c r="K101" t="s">
        <v>71</v>
      </c>
      <c r="L101" s="1">
        <v>44845</v>
      </c>
      <c r="M101" s="2">
        <v>692546</v>
      </c>
      <c r="N101" s="2" t="s">
        <v>2950</v>
      </c>
      <c r="O101" t="s">
        <v>111</v>
      </c>
      <c r="P101" t="s">
        <v>90</v>
      </c>
      <c r="Q101" t="s">
        <v>158</v>
      </c>
      <c r="R101">
        <v>3.6</v>
      </c>
      <c r="S101" t="s">
        <v>2952</v>
      </c>
    </row>
    <row r="102" spans="1:19" x14ac:dyDescent="0.3">
      <c r="A102" t="s">
        <v>411</v>
      </c>
      <c r="B102" t="s">
        <v>187</v>
      </c>
      <c r="C102" t="s">
        <v>408</v>
      </c>
      <c r="D102" t="s">
        <v>45</v>
      </c>
      <c r="E102">
        <v>31</v>
      </c>
      <c r="F102" t="s">
        <v>2946</v>
      </c>
      <c r="G102" t="s">
        <v>409</v>
      </c>
      <c r="H102" t="s">
        <v>2517</v>
      </c>
      <c r="I102" t="s">
        <v>394</v>
      </c>
      <c r="J102" t="s">
        <v>410</v>
      </c>
      <c r="K102" t="s">
        <v>28</v>
      </c>
      <c r="L102" s="1">
        <v>44215</v>
      </c>
      <c r="M102" s="2">
        <v>575036</v>
      </c>
      <c r="N102" s="2" t="s">
        <v>2950</v>
      </c>
      <c r="O102" t="s">
        <v>216</v>
      </c>
      <c r="P102" t="s">
        <v>152</v>
      </c>
      <c r="Q102" t="s">
        <v>65</v>
      </c>
      <c r="R102">
        <v>5.3</v>
      </c>
      <c r="S102" t="s">
        <v>2953</v>
      </c>
    </row>
    <row r="103" spans="1:19" x14ac:dyDescent="0.3">
      <c r="A103" t="s">
        <v>2318</v>
      </c>
      <c r="B103" t="s">
        <v>412</v>
      </c>
      <c r="C103" t="s">
        <v>213</v>
      </c>
      <c r="D103" t="s">
        <v>24</v>
      </c>
      <c r="E103">
        <v>39</v>
      </c>
      <c r="F103" t="s">
        <v>2946</v>
      </c>
      <c r="G103" t="s">
        <v>413</v>
      </c>
      <c r="H103" t="s">
        <v>414</v>
      </c>
      <c r="I103" t="s">
        <v>368</v>
      </c>
      <c r="J103" t="s">
        <v>415</v>
      </c>
      <c r="K103" t="s">
        <v>71</v>
      </c>
      <c r="L103" s="1">
        <v>44887</v>
      </c>
      <c r="M103" s="2">
        <v>626699</v>
      </c>
      <c r="N103" s="2" t="s">
        <v>2950</v>
      </c>
      <c r="O103" t="s">
        <v>253</v>
      </c>
      <c r="P103" t="s">
        <v>90</v>
      </c>
      <c r="Q103" t="s">
        <v>72</v>
      </c>
      <c r="R103">
        <v>3.5</v>
      </c>
      <c r="S103" t="s">
        <v>2952</v>
      </c>
    </row>
    <row r="104" spans="1:19" x14ac:dyDescent="0.3">
      <c r="A104" t="s">
        <v>419</v>
      </c>
      <c r="B104" t="s">
        <v>416</v>
      </c>
      <c r="C104" t="s">
        <v>146</v>
      </c>
      <c r="D104" t="s">
        <v>24</v>
      </c>
      <c r="E104">
        <v>37</v>
      </c>
      <c r="F104" t="s">
        <v>2946</v>
      </c>
      <c r="G104" t="s">
        <v>417</v>
      </c>
      <c r="H104" t="s">
        <v>2518</v>
      </c>
      <c r="I104" t="s">
        <v>235</v>
      </c>
      <c r="J104" t="s">
        <v>418</v>
      </c>
      <c r="K104" t="s">
        <v>28</v>
      </c>
      <c r="L104" s="1">
        <v>43688</v>
      </c>
      <c r="M104" s="2">
        <v>103536</v>
      </c>
      <c r="N104" s="2" t="s">
        <v>2949</v>
      </c>
      <c r="O104" t="s">
        <v>111</v>
      </c>
      <c r="P104" t="s">
        <v>353</v>
      </c>
      <c r="Q104" t="s">
        <v>65</v>
      </c>
      <c r="R104">
        <v>6.8</v>
      </c>
      <c r="S104" t="s">
        <v>2953</v>
      </c>
    </row>
    <row r="105" spans="1:19" x14ac:dyDescent="0.3">
      <c r="A105" t="s">
        <v>422</v>
      </c>
      <c r="B105" t="s">
        <v>145</v>
      </c>
      <c r="C105" t="s">
        <v>273</v>
      </c>
      <c r="D105" t="s">
        <v>45</v>
      </c>
      <c r="E105">
        <v>54</v>
      </c>
      <c r="F105" t="s">
        <v>2947</v>
      </c>
      <c r="G105" t="s">
        <v>420</v>
      </c>
      <c r="H105" t="s">
        <v>2519</v>
      </c>
      <c r="I105" t="s">
        <v>100</v>
      </c>
      <c r="J105" t="s">
        <v>421</v>
      </c>
      <c r="K105" t="s">
        <v>28</v>
      </c>
      <c r="L105" s="1">
        <v>42833</v>
      </c>
      <c r="M105" s="2">
        <v>628102</v>
      </c>
      <c r="N105" s="2" t="s">
        <v>2950</v>
      </c>
      <c r="O105" t="s">
        <v>216</v>
      </c>
      <c r="P105" t="s">
        <v>90</v>
      </c>
      <c r="Q105" t="s">
        <v>244</v>
      </c>
      <c r="R105">
        <v>9.1</v>
      </c>
      <c r="S105" t="s">
        <v>2951</v>
      </c>
    </row>
    <row r="106" spans="1:19" x14ac:dyDescent="0.3">
      <c r="A106" t="s">
        <v>425</v>
      </c>
      <c r="B106" t="s">
        <v>154</v>
      </c>
      <c r="C106" t="s">
        <v>120</v>
      </c>
      <c r="D106" t="s">
        <v>45</v>
      </c>
      <c r="E106">
        <v>22</v>
      </c>
      <c r="F106" t="s">
        <v>2945</v>
      </c>
      <c r="G106" t="s">
        <v>423</v>
      </c>
      <c r="H106" t="s">
        <v>424</v>
      </c>
      <c r="I106" t="s">
        <v>394</v>
      </c>
      <c r="J106" t="s">
        <v>195</v>
      </c>
      <c r="K106" t="s">
        <v>71</v>
      </c>
      <c r="L106" s="1">
        <v>44909</v>
      </c>
      <c r="M106" s="2">
        <v>859769</v>
      </c>
      <c r="N106" s="2" t="s">
        <v>2950</v>
      </c>
      <c r="O106" t="s">
        <v>111</v>
      </c>
      <c r="P106" t="s">
        <v>90</v>
      </c>
      <c r="Q106" t="s">
        <v>79</v>
      </c>
      <c r="R106">
        <v>3.4</v>
      </c>
      <c r="S106" t="s">
        <v>2952</v>
      </c>
    </row>
    <row r="107" spans="1:19" x14ac:dyDescent="0.3">
      <c r="A107" t="s">
        <v>427</v>
      </c>
      <c r="B107" t="s">
        <v>85</v>
      </c>
      <c r="C107" t="s">
        <v>93</v>
      </c>
      <c r="D107" t="s">
        <v>24</v>
      </c>
      <c r="E107">
        <v>25</v>
      </c>
      <c r="F107" t="s">
        <v>2945</v>
      </c>
      <c r="G107" t="s">
        <v>2425</v>
      </c>
      <c r="H107" t="s">
        <v>2520</v>
      </c>
      <c r="I107" t="s">
        <v>53</v>
      </c>
      <c r="J107" t="s">
        <v>426</v>
      </c>
      <c r="K107" t="s">
        <v>71</v>
      </c>
      <c r="M107" s="2">
        <v>657321</v>
      </c>
      <c r="N107" s="2" t="s">
        <v>2950</v>
      </c>
      <c r="O107" t="s">
        <v>130</v>
      </c>
      <c r="P107" t="s">
        <v>21</v>
      </c>
      <c r="Q107" t="s">
        <v>244</v>
      </c>
      <c r="R107">
        <v>7.6</v>
      </c>
      <c r="S107" t="s">
        <v>2953</v>
      </c>
    </row>
    <row r="108" spans="1:19" x14ac:dyDescent="0.3">
      <c r="A108" t="s">
        <v>429</v>
      </c>
      <c r="B108" t="s">
        <v>297</v>
      </c>
      <c r="C108" t="s">
        <v>68</v>
      </c>
      <c r="D108" t="s">
        <v>24</v>
      </c>
      <c r="E108">
        <v>47</v>
      </c>
      <c r="F108" t="s">
        <v>2947</v>
      </c>
      <c r="G108" t="s">
        <v>428</v>
      </c>
      <c r="H108" t="s">
        <v>2521</v>
      </c>
      <c r="I108" t="s">
        <v>368</v>
      </c>
      <c r="J108" t="s">
        <v>415</v>
      </c>
      <c r="K108" t="s">
        <v>35</v>
      </c>
      <c r="L108" s="1">
        <v>43192</v>
      </c>
      <c r="M108" s="2">
        <v>897546</v>
      </c>
      <c r="N108" s="2" t="s">
        <v>2950</v>
      </c>
      <c r="O108" t="s">
        <v>130</v>
      </c>
      <c r="P108" t="s">
        <v>21</v>
      </c>
      <c r="Q108" t="s">
        <v>244</v>
      </c>
      <c r="R108">
        <v>8.3000000000000007</v>
      </c>
      <c r="S108" t="s">
        <v>2951</v>
      </c>
    </row>
    <row r="109" spans="1:19" x14ac:dyDescent="0.3">
      <c r="A109" t="s">
        <v>431</v>
      </c>
      <c r="B109" t="s">
        <v>412</v>
      </c>
      <c r="C109" t="s">
        <v>221</v>
      </c>
      <c r="D109" t="s">
        <v>24</v>
      </c>
      <c r="E109">
        <v>29</v>
      </c>
      <c r="F109" t="s">
        <v>2945</v>
      </c>
      <c r="G109" t="s">
        <v>430</v>
      </c>
      <c r="H109" t="s">
        <v>2369</v>
      </c>
      <c r="I109" t="s">
        <v>517</v>
      </c>
      <c r="J109" t="s">
        <v>239</v>
      </c>
      <c r="K109" t="s">
        <v>71</v>
      </c>
      <c r="M109" s="2">
        <v>585382</v>
      </c>
      <c r="N109" s="2" t="s">
        <v>2950</v>
      </c>
      <c r="O109" t="s">
        <v>216</v>
      </c>
      <c r="P109" t="s">
        <v>353</v>
      </c>
      <c r="Q109" t="s">
        <v>72</v>
      </c>
      <c r="R109">
        <v>11.1</v>
      </c>
      <c r="S109" t="s">
        <v>2951</v>
      </c>
    </row>
    <row r="110" spans="1:19" x14ac:dyDescent="0.3">
      <c r="A110" t="s">
        <v>434</v>
      </c>
      <c r="B110" t="s">
        <v>132</v>
      </c>
      <c r="C110" t="s">
        <v>221</v>
      </c>
      <c r="D110" t="s">
        <v>24</v>
      </c>
      <c r="E110">
        <v>52</v>
      </c>
      <c r="F110" t="s">
        <v>2947</v>
      </c>
      <c r="G110" t="s">
        <v>432</v>
      </c>
      <c r="H110" t="s">
        <v>2522</v>
      </c>
      <c r="I110" t="s">
        <v>517</v>
      </c>
      <c r="J110" t="s">
        <v>433</v>
      </c>
      <c r="K110" t="s">
        <v>48</v>
      </c>
      <c r="M110" s="2">
        <v>124316</v>
      </c>
      <c r="N110" s="2" t="s">
        <v>2949</v>
      </c>
      <c r="O110" t="s">
        <v>130</v>
      </c>
      <c r="P110" t="s">
        <v>152</v>
      </c>
      <c r="Q110" t="s">
        <v>158</v>
      </c>
      <c r="R110">
        <v>5.3</v>
      </c>
      <c r="S110" t="s">
        <v>2953</v>
      </c>
    </row>
    <row r="111" spans="1:19" x14ac:dyDescent="0.3">
      <c r="A111" t="s">
        <v>436</v>
      </c>
      <c r="B111" t="s">
        <v>259</v>
      </c>
      <c r="C111" t="s">
        <v>287</v>
      </c>
      <c r="D111" t="s">
        <v>24</v>
      </c>
      <c r="E111">
        <v>45</v>
      </c>
      <c r="F111" t="s">
        <v>2946</v>
      </c>
      <c r="G111" t="s">
        <v>435</v>
      </c>
      <c r="H111" t="s">
        <v>2369</v>
      </c>
      <c r="I111" t="s">
        <v>100</v>
      </c>
      <c r="J111" t="s">
        <v>173</v>
      </c>
      <c r="K111" t="s">
        <v>71</v>
      </c>
      <c r="L111" s="1">
        <v>42867</v>
      </c>
      <c r="M111" s="2">
        <v>519450</v>
      </c>
      <c r="N111" s="2" t="s">
        <v>2950</v>
      </c>
      <c r="O111" t="s">
        <v>216</v>
      </c>
      <c r="P111" t="s">
        <v>21</v>
      </c>
      <c r="Q111" t="s">
        <v>158</v>
      </c>
      <c r="R111">
        <v>9</v>
      </c>
      <c r="S111" t="s">
        <v>2951</v>
      </c>
    </row>
    <row r="112" spans="1:19" x14ac:dyDescent="0.3">
      <c r="A112" t="s">
        <v>437</v>
      </c>
      <c r="B112" t="s">
        <v>113</v>
      </c>
      <c r="C112" t="s">
        <v>44</v>
      </c>
      <c r="D112" t="s">
        <v>24</v>
      </c>
      <c r="E112">
        <v>38</v>
      </c>
      <c r="F112" t="s">
        <v>2946</v>
      </c>
      <c r="G112" t="s">
        <v>2369</v>
      </c>
      <c r="H112" t="s">
        <v>2369</v>
      </c>
      <c r="I112" t="s">
        <v>394</v>
      </c>
      <c r="J112" t="s">
        <v>395</v>
      </c>
      <c r="K112" t="s">
        <v>28</v>
      </c>
      <c r="L112" s="1">
        <v>44300</v>
      </c>
      <c r="M112" s="2">
        <v>664572</v>
      </c>
      <c r="N112" s="2" t="s">
        <v>2950</v>
      </c>
      <c r="O112" t="s">
        <v>41</v>
      </c>
      <c r="P112" t="s">
        <v>152</v>
      </c>
      <c r="Q112" t="s">
        <v>65</v>
      </c>
      <c r="R112">
        <v>5.0999999999999996</v>
      </c>
      <c r="S112" t="s">
        <v>2953</v>
      </c>
    </row>
    <row r="113" spans="1:19" x14ac:dyDescent="0.3">
      <c r="A113" t="s">
        <v>438</v>
      </c>
      <c r="B113" t="s">
        <v>286</v>
      </c>
      <c r="C113" t="s">
        <v>287</v>
      </c>
      <c r="D113" t="s">
        <v>45</v>
      </c>
      <c r="E113">
        <v>33</v>
      </c>
      <c r="F113" t="s">
        <v>2946</v>
      </c>
      <c r="G113" t="s">
        <v>288</v>
      </c>
      <c r="H113" t="s">
        <v>2523</v>
      </c>
      <c r="I113" t="s">
        <v>209</v>
      </c>
      <c r="J113" t="s">
        <v>292</v>
      </c>
      <c r="K113" t="s">
        <v>48</v>
      </c>
      <c r="L113" s="1">
        <v>43700</v>
      </c>
      <c r="M113" s="2">
        <v>2554.4499999999998</v>
      </c>
      <c r="N113" s="2" t="s">
        <v>2949</v>
      </c>
      <c r="O113" t="s">
        <v>253</v>
      </c>
      <c r="P113" t="s">
        <v>21</v>
      </c>
      <c r="Q113" t="s">
        <v>158</v>
      </c>
      <c r="R113">
        <v>6.7</v>
      </c>
      <c r="S113" t="s">
        <v>2953</v>
      </c>
    </row>
    <row r="114" spans="1:19" x14ac:dyDescent="0.3">
      <c r="A114" t="s">
        <v>441</v>
      </c>
      <c r="B114" t="s">
        <v>326</v>
      </c>
      <c r="C114" t="s">
        <v>408</v>
      </c>
      <c r="D114" t="s">
        <v>24</v>
      </c>
      <c r="E114">
        <v>51</v>
      </c>
      <c r="F114" t="s">
        <v>2947</v>
      </c>
      <c r="G114" t="s">
        <v>439</v>
      </c>
      <c r="H114" t="s">
        <v>2524</v>
      </c>
      <c r="I114" t="s">
        <v>517</v>
      </c>
      <c r="J114" t="s">
        <v>440</v>
      </c>
      <c r="K114" t="s">
        <v>28</v>
      </c>
      <c r="M114" s="2">
        <v>265636</v>
      </c>
      <c r="N114" s="2" t="s">
        <v>2948</v>
      </c>
      <c r="O114" t="s">
        <v>130</v>
      </c>
      <c r="P114" t="s">
        <v>353</v>
      </c>
      <c r="Q114" t="s">
        <v>158</v>
      </c>
      <c r="R114">
        <v>5.3</v>
      </c>
      <c r="S114" t="s">
        <v>2953</v>
      </c>
    </row>
    <row r="115" spans="1:19" x14ac:dyDescent="0.3">
      <c r="A115" t="s">
        <v>446</v>
      </c>
      <c r="B115" t="s">
        <v>145</v>
      </c>
      <c r="C115" t="s">
        <v>273</v>
      </c>
      <c r="D115" t="s">
        <v>24</v>
      </c>
      <c r="E115">
        <v>37</v>
      </c>
      <c r="F115" t="s">
        <v>2946</v>
      </c>
      <c r="G115" t="s">
        <v>442</v>
      </c>
      <c r="H115" t="s">
        <v>2525</v>
      </c>
      <c r="I115" t="s">
        <v>235</v>
      </c>
      <c r="J115" t="s">
        <v>59</v>
      </c>
      <c r="K115" t="s">
        <v>48</v>
      </c>
      <c r="L115" s="1">
        <v>43734</v>
      </c>
      <c r="M115" s="2">
        <v>735698</v>
      </c>
      <c r="N115" s="2" t="s">
        <v>2950</v>
      </c>
      <c r="O115" t="s">
        <v>216</v>
      </c>
      <c r="P115" t="s">
        <v>205</v>
      </c>
      <c r="Q115" t="s">
        <v>79</v>
      </c>
      <c r="R115">
        <v>6.6</v>
      </c>
      <c r="S115" t="s">
        <v>2953</v>
      </c>
    </row>
    <row r="116" spans="1:19" x14ac:dyDescent="0.3">
      <c r="A116" t="s">
        <v>449</v>
      </c>
      <c r="B116" t="s">
        <v>148</v>
      </c>
      <c r="C116" t="s">
        <v>98</v>
      </c>
      <c r="D116" t="s">
        <v>24</v>
      </c>
      <c r="E116">
        <v>43</v>
      </c>
      <c r="F116" t="s">
        <v>2946</v>
      </c>
      <c r="G116" t="s">
        <v>444</v>
      </c>
      <c r="H116" t="s">
        <v>2526</v>
      </c>
      <c r="I116" t="s">
        <v>235</v>
      </c>
      <c r="J116" t="s">
        <v>445</v>
      </c>
      <c r="K116" t="s">
        <v>28</v>
      </c>
      <c r="L116" s="1">
        <v>44753</v>
      </c>
      <c r="M116" s="2">
        <v>8254690</v>
      </c>
      <c r="N116" s="2" t="s">
        <v>2950</v>
      </c>
      <c r="O116" t="s">
        <v>130</v>
      </c>
      <c r="P116" t="s">
        <v>205</v>
      </c>
      <c r="Q116" t="s">
        <v>65</v>
      </c>
      <c r="R116">
        <v>3.8</v>
      </c>
      <c r="S116" t="s">
        <v>2952</v>
      </c>
    </row>
    <row r="117" spans="1:19" x14ac:dyDescent="0.3">
      <c r="A117" t="s">
        <v>451</v>
      </c>
      <c r="B117" t="s">
        <v>259</v>
      </c>
      <c r="C117" t="s">
        <v>327</v>
      </c>
      <c r="D117" t="s">
        <v>45</v>
      </c>
      <c r="E117">
        <v>56</v>
      </c>
      <c r="F117" t="s">
        <v>2947</v>
      </c>
      <c r="G117" t="s">
        <v>447</v>
      </c>
      <c r="H117" t="s">
        <v>448</v>
      </c>
      <c r="I117" t="s">
        <v>100</v>
      </c>
      <c r="J117" t="s">
        <v>101</v>
      </c>
      <c r="K117" t="s">
        <v>71</v>
      </c>
      <c r="L117" s="1">
        <v>43612</v>
      </c>
      <c r="M117" s="2">
        <v>154852</v>
      </c>
      <c r="N117" s="2" t="s">
        <v>2949</v>
      </c>
      <c r="O117" t="s">
        <v>130</v>
      </c>
      <c r="P117" t="s">
        <v>90</v>
      </c>
      <c r="Q117" t="s">
        <v>244</v>
      </c>
      <c r="R117">
        <v>7</v>
      </c>
      <c r="S117" t="s">
        <v>2953</v>
      </c>
    </row>
    <row r="118" spans="1:19" x14ac:dyDescent="0.3">
      <c r="A118" t="s">
        <v>2319</v>
      </c>
      <c r="B118" t="s">
        <v>326</v>
      </c>
      <c r="C118" t="s">
        <v>161</v>
      </c>
      <c r="D118" t="s">
        <v>24</v>
      </c>
      <c r="E118">
        <v>24</v>
      </c>
      <c r="F118" t="s">
        <v>2945</v>
      </c>
      <c r="G118" t="s">
        <v>450</v>
      </c>
      <c r="H118" t="s">
        <v>2527</v>
      </c>
      <c r="I118" t="s">
        <v>271</v>
      </c>
      <c r="J118" t="s">
        <v>70</v>
      </c>
      <c r="K118" t="s">
        <v>48</v>
      </c>
      <c r="L118" s="1">
        <v>43000</v>
      </c>
      <c r="M118" s="2">
        <v>89363</v>
      </c>
      <c r="N118" s="2" t="s">
        <v>2949</v>
      </c>
      <c r="O118" t="s">
        <v>111</v>
      </c>
      <c r="P118" t="s">
        <v>21</v>
      </c>
      <c r="Q118" t="s">
        <v>65</v>
      </c>
      <c r="R118">
        <v>8.6</v>
      </c>
      <c r="S118" t="s">
        <v>2951</v>
      </c>
    </row>
    <row r="119" spans="1:19" x14ac:dyDescent="0.3">
      <c r="A119" t="s">
        <v>456</v>
      </c>
      <c r="B119" t="s">
        <v>37</v>
      </c>
      <c r="C119" t="s">
        <v>114</v>
      </c>
      <c r="D119" t="s">
        <v>24</v>
      </c>
      <c r="E119">
        <v>57</v>
      </c>
      <c r="F119" t="s">
        <v>2947</v>
      </c>
      <c r="G119" t="s">
        <v>452</v>
      </c>
      <c r="H119" t="s">
        <v>2528</v>
      </c>
      <c r="I119" t="s">
        <v>485</v>
      </c>
      <c r="J119" t="s">
        <v>179</v>
      </c>
      <c r="K119" t="s">
        <v>28</v>
      </c>
      <c r="L119" s="1">
        <v>43923</v>
      </c>
      <c r="N119" s="2" t="s">
        <v>2369</v>
      </c>
      <c r="O119" t="s">
        <v>111</v>
      </c>
      <c r="P119" t="s">
        <v>152</v>
      </c>
      <c r="Q119" t="s">
        <v>158</v>
      </c>
      <c r="R119">
        <v>6.1</v>
      </c>
      <c r="S119" t="s">
        <v>2953</v>
      </c>
    </row>
    <row r="120" spans="1:19" x14ac:dyDescent="0.3">
      <c r="A120" t="s">
        <v>460</v>
      </c>
      <c r="B120" t="s">
        <v>385</v>
      </c>
      <c r="C120" t="s">
        <v>62</v>
      </c>
      <c r="D120" t="s">
        <v>45</v>
      </c>
      <c r="E120">
        <v>38</v>
      </c>
      <c r="F120" t="s">
        <v>2946</v>
      </c>
      <c r="G120" t="s">
        <v>453</v>
      </c>
      <c r="H120" t="s">
        <v>454</v>
      </c>
      <c r="I120" t="s">
        <v>368</v>
      </c>
      <c r="J120" t="s">
        <v>455</v>
      </c>
      <c r="K120" t="s">
        <v>71</v>
      </c>
      <c r="L120" s="1">
        <v>44011</v>
      </c>
      <c r="M120" s="2">
        <v>631363</v>
      </c>
      <c r="N120" s="2" t="s">
        <v>2950</v>
      </c>
      <c r="O120" t="s">
        <v>130</v>
      </c>
      <c r="P120" t="s">
        <v>205</v>
      </c>
      <c r="Q120" t="s">
        <v>244</v>
      </c>
      <c r="R120">
        <v>5.9</v>
      </c>
      <c r="S120" t="s">
        <v>2953</v>
      </c>
    </row>
    <row r="121" spans="1:19" x14ac:dyDescent="0.3">
      <c r="A121" t="s">
        <v>462</v>
      </c>
      <c r="B121" t="s">
        <v>17</v>
      </c>
      <c r="C121" t="s">
        <v>82</v>
      </c>
      <c r="D121" t="s">
        <v>45</v>
      </c>
      <c r="E121">
        <v>49</v>
      </c>
      <c r="F121" t="s">
        <v>2947</v>
      </c>
      <c r="G121" t="s">
        <v>457</v>
      </c>
      <c r="H121" t="s">
        <v>458</v>
      </c>
      <c r="I121" t="s">
        <v>485</v>
      </c>
      <c r="J121" t="s">
        <v>459</v>
      </c>
      <c r="K121" t="s">
        <v>28</v>
      </c>
      <c r="M121" s="2">
        <v>777557</v>
      </c>
      <c r="N121" s="2" t="s">
        <v>2950</v>
      </c>
      <c r="O121" t="s">
        <v>111</v>
      </c>
      <c r="P121" t="s">
        <v>152</v>
      </c>
      <c r="Q121" t="s">
        <v>79</v>
      </c>
      <c r="R121">
        <v>3.5</v>
      </c>
      <c r="S121" t="s">
        <v>2952</v>
      </c>
    </row>
    <row r="122" spans="1:19" x14ac:dyDescent="0.3">
      <c r="A122" t="s">
        <v>464</v>
      </c>
      <c r="B122" t="s">
        <v>340</v>
      </c>
      <c r="C122" t="s">
        <v>348</v>
      </c>
      <c r="D122" t="s">
        <v>24</v>
      </c>
      <c r="E122">
        <v>39</v>
      </c>
      <c r="F122" t="s">
        <v>2946</v>
      </c>
      <c r="G122" t="s">
        <v>461</v>
      </c>
      <c r="H122" t="s">
        <v>2369</v>
      </c>
      <c r="I122" t="s">
        <v>235</v>
      </c>
      <c r="J122" t="s">
        <v>219</v>
      </c>
      <c r="K122" t="s">
        <v>48</v>
      </c>
      <c r="L122" s="1">
        <v>43294</v>
      </c>
      <c r="M122" s="2">
        <v>102755</v>
      </c>
      <c r="N122" s="2" t="s">
        <v>2949</v>
      </c>
      <c r="O122" t="s">
        <v>41</v>
      </c>
      <c r="P122" t="s">
        <v>152</v>
      </c>
      <c r="Q122" t="s">
        <v>244</v>
      </c>
      <c r="R122">
        <v>7.8</v>
      </c>
      <c r="S122" t="s">
        <v>2953</v>
      </c>
    </row>
    <row r="123" spans="1:19" x14ac:dyDescent="0.3">
      <c r="A123" t="s">
        <v>466</v>
      </c>
      <c r="B123" t="s">
        <v>347</v>
      </c>
      <c r="C123" t="s">
        <v>133</v>
      </c>
      <c r="D123" t="s">
        <v>45</v>
      </c>
      <c r="E123">
        <v>25</v>
      </c>
      <c r="F123" t="s">
        <v>2945</v>
      </c>
      <c r="G123" t="s">
        <v>463</v>
      </c>
      <c r="H123" t="s">
        <v>2529</v>
      </c>
      <c r="I123" t="s">
        <v>209</v>
      </c>
      <c r="J123" t="s">
        <v>393</v>
      </c>
      <c r="K123" t="s">
        <v>48</v>
      </c>
      <c r="L123" s="1">
        <v>44594</v>
      </c>
      <c r="M123" s="2">
        <v>481066</v>
      </c>
      <c r="N123" s="2" t="s">
        <v>2948</v>
      </c>
      <c r="O123" t="s">
        <v>198</v>
      </c>
      <c r="P123" t="s">
        <v>90</v>
      </c>
      <c r="Q123" t="s">
        <v>65</v>
      </c>
      <c r="R123">
        <v>4.3</v>
      </c>
      <c r="S123" t="s">
        <v>2952</v>
      </c>
    </row>
    <row r="124" spans="1:19" x14ac:dyDescent="0.3">
      <c r="A124" t="s">
        <v>468</v>
      </c>
      <c r="B124" t="s">
        <v>326</v>
      </c>
      <c r="C124" t="s">
        <v>86</v>
      </c>
      <c r="D124" t="s">
        <v>24</v>
      </c>
      <c r="E124">
        <v>29</v>
      </c>
      <c r="F124" t="s">
        <v>2945</v>
      </c>
      <c r="G124" t="s">
        <v>465</v>
      </c>
      <c r="H124" t="s">
        <v>2530</v>
      </c>
      <c r="I124" t="s">
        <v>485</v>
      </c>
      <c r="J124" t="s">
        <v>398</v>
      </c>
      <c r="K124" t="s">
        <v>71</v>
      </c>
      <c r="M124" s="2">
        <v>173946</v>
      </c>
      <c r="N124" s="2" t="s">
        <v>2949</v>
      </c>
      <c r="O124" t="s">
        <v>130</v>
      </c>
      <c r="P124" t="s">
        <v>152</v>
      </c>
      <c r="Q124" t="s">
        <v>158</v>
      </c>
      <c r="R124">
        <v>4.9000000000000004</v>
      </c>
      <c r="S124" t="s">
        <v>2952</v>
      </c>
    </row>
    <row r="125" spans="1:19" x14ac:dyDescent="0.3">
      <c r="A125" t="s">
        <v>470</v>
      </c>
      <c r="B125" t="s">
        <v>74</v>
      </c>
      <c r="C125" t="s">
        <v>408</v>
      </c>
      <c r="D125" t="s">
        <v>24</v>
      </c>
      <c r="E125">
        <v>23</v>
      </c>
      <c r="F125" t="s">
        <v>2945</v>
      </c>
      <c r="G125" t="s">
        <v>467</v>
      </c>
      <c r="H125" t="s">
        <v>2531</v>
      </c>
      <c r="I125" t="s">
        <v>517</v>
      </c>
      <c r="J125" t="s">
        <v>440</v>
      </c>
      <c r="K125" t="s">
        <v>28</v>
      </c>
      <c r="L125" s="1">
        <v>42583</v>
      </c>
      <c r="N125" s="2" t="s">
        <v>2369</v>
      </c>
      <c r="O125" t="s">
        <v>130</v>
      </c>
      <c r="P125" t="s">
        <v>90</v>
      </c>
      <c r="Q125" t="s">
        <v>158</v>
      </c>
      <c r="R125">
        <v>9.8000000000000007</v>
      </c>
      <c r="S125" t="s">
        <v>2951</v>
      </c>
    </row>
    <row r="126" spans="1:19" x14ac:dyDescent="0.3">
      <c r="A126" t="s">
        <v>474</v>
      </c>
      <c r="B126" t="s">
        <v>269</v>
      </c>
      <c r="C126" t="s">
        <v>44</v>
      </c>
      <c r="D126" t="s">
        <v>24</v>
      </c>
      <c r="E126">
        <v>44</v>
      </c>
      <c r="F126" t="s">
        <v>2946</v>
      </c>
      <c r="G126" t="s">
        <v>469</v>
      </c>
      <c r="H126" t="s">
        <v>2532</v>
      </c>
      <c r="I126" t="s">
        <v>517</v>
      </c>
      <c r="J126" t="s">
        <v>440</v>
      </c>
      <c r="K126" t="s">
        <v>28</v>
      </c>
      <c r="L126" s="1">
        <v>42648</v>
      </c>
      <c r="M126" s="2">
        <v>99264</v>
      </c>
      <c r="N126" s="2" t="s">
        <v>2949</v>
      </c>
      <c r="O126" t="s">
        <v>253</v>
      </c>
      <c r="P126" t="s">
        <v>353</v>
      </c>
      <c r="Q126" t="s">
        <v>244</v>
      </c>
      <c r="R126">
        <v>9.6</v>
      </c>
      <c r="S126" t="s">
        <v>2951</v>
      </c>
    </row>
    <row r="127" spans="1:19" x14ac:dyDescent="0.3">
      <c r="A127" t="s">
        <v>478</v>
      </c>
      <c r="B127" t="s">
        <v>97</v>
      </c>
      <c r="C127" t="s">
        <v>86</v>
      </c>
      <c r="D127" t="s">
        <v>24</v>
      </c>
      <c r="F127" t="s">
        <v>2369</v>
      </c>
      <c r="G127" t="s">
        <v>471</v>
      </c>
      <c r="H127" t="s">
        <v>472</v>
      </c>
      <c r="I127" t="s">
        <v>100</v>
      </c>
      <c r="J127" t="s">
        <v>473</v>
      </c>
      <c r="K127" t="s">
        <v>71</v>
      </c>
      <c r="L127" s="1">
        <v>44232</v>
      </c>
      <c r="M127" s="2">
        <v>245725</v>
      </c>
      <c r="N127" s="2" t="s">
        <v>2948</v>
      </c>
      <c r="O127" t="s">
        <v>111</v>
      </c>
      <c r="P127" t="s">
        <v>152</v>
      </c>
      <c r="Q127" t="s">
        <v>79</v>
      </c>
      <c r="R127">
        <v>5</v>
      </c>
      <c r="S127" t="s">
        <v>2952</v>
      </c>
    </row>
    <row r="128" spans="1:19" x14ac:dyDescent="0.3">
      <c r="A128" t="s">
        <v>481</v>
      </c>
      <c r="B128" t="s">
        <v>97</v>
      </c>
      <c r="C128" t="s">
        <v>475</v>
      </c>
      <c r="D128" t="s">
        <v>24</v>
      </c>
      <c r="E128">
        <v>22</v>
      </c>
      <c r="F128" t="s">
        <v>2945</v>
      </c>
      <c r="G128" t="s">
        <v>476</v>
      </c>
      <c r="H128" t="s">
        <v>2369</v>
      </c>
      <c r="I128" t="s">
        <v>235</v>
      </c>
      <c r="J128" t="s">
        <v>477</v>
      </c>
      <c r="K128" t="s">
        <v>48</v>
      </c>
      <c r="L128" s="1">
        <v>43678</v>
      </c>
      <c r="M128" s="2">
        <v>881677</v>
      </c>
      <c r="N128" s="2" t="s">
        <v>2950</v>
      </c>
      <c r="O128" t="s">
        <v>41</v>
      </c>
      <c r="P128" t="s">
        <v>205</v>
      </c>
      <c r="Q128" t="s">
        <v>158</v>
      </c>
      <c r="R128">
        <v>6.8</v>
      </c>
      <c r="S128" t="s">
        <v>2953</v>
      </c>
    </row>
    <row r="129" spans="1:19" x14ac:dyDescent="0.3">
      <c r="A129" t="s">
        <v>483</v>
      </c>
      <c r="B129" t="s">
        <v>17</v>
      </c>
      <c r="C129" t="s">
        <v>264</v>
      </c>
      <c r="D129" t="s">
        <v>24</v>
      </c>
      <c r="E129">
        <v>40</v>
      </c>
      <c r="F129" t="s">
        <v>2946</v>
      </c>
      <c r="G129" t="s">
        <v>479</v>
      </c>
      <c r="H129" t="s">
        <v>2533</v>
      </c>
      <c r="I129" t="s">
        <v>235</v>
      </c>
      <c r="J129" t="s">
        <v>480</v>
      </c>
      <c r="K129" t="s">
        <v>71</v>
      </c>
      <c r="L129" s="1">
        <v>43635</v>
      </c>
      <c r="M129" s="2">
        <v>399348</v>
      </c>
      <c r="N129" s="2" t="s">
        <v>2948</v>
      </c>
      <c r="O129" t="s">
        <v>253</v>
      </c>
      <c r="P129" t="s">
        <v>21</v>
      </c>
      <c r="Q129" t="s">
        <v>158</v>
      </c>
      <c r="R129">
        <v>6.9</v>
      </c>
      <c r="S129" t="s">
        <v>2953</v>
      </c>
    </row>
    <row r="130" spans="1:19" x14ac:dyDescent="0.3">
      <c r="A130" t="s">
        <v>487</v>
      </c>
      <c r="B130" t="s">
        <v>148</v>
      </c>
      <c r="C130" t="s">
        <v>273</v>
      </c>
      <c r="D130" t="s">
        <v>45</v>
      </c>
      <c r="E130">
        <v>58</v>
      </c>
      <c r="F130" t="s">
        <v>2947</v>
      </c>
      <c r="G130" t="s">
        <v>482</v>
      </c>
      <c r="H130" t="s">
        <v>2369</v>
      </c>
      <c r="I130" t="s">
        <v>53</v>
      </c>
      <c r="J130" t="s">
        <v>54</v>
      </c>
      <c r="K130" t="s">
        <v>35</v>
      </c>
      <c r="L130" s="1">
        <v>42704</v>
      </c>
      <c r="M130" s="2">
        <v>431475</v>
      </c>
      <c r="N130" s="2" t="s">
        <v>2948</v>
      </c>
      <c r="O130" t="s">
        <v>216</v>
      </c>
      <c r="P130" t="s">
        <v>152</v>
      </c>
      <c r="Q130" t="s">
        <v>244</v>
      </c>
      <c r="R130">
        <v>9.5</v>
      </c>
      <c r="S130" t="s">
        <v>2951</v>
      </c>
    </row>
    <row r="131" spans="1:19" x14ac:dyDescent="0.3">
      <c r="A131" t="s">
        <v>490</v>
      </c>
      <c r="B131" t="s">
        <v>124</v>
      </c>
      <c r="C131" t="s">
        <v>264</v>
      </c>
      <c r="D131" t="s">
        <v>24</v>
      </c>
      <c r="E131">
        <v>58</v>
      </c>
      <c r="F131" t="s">
        <v>2947</v>
      </c>
      <c r="G131" t="s">
        <v>484</v>
      </c>
      <c r="H131" t="s">
        <v>2369</v>
      </c>
      <c r="I131" t="s">
        <v>485</v>
      </c>
      <c r="J131" t="s">
        <v>486</v>
      </c>
      <c r="K131" t="s">
        <v>35</v>
      </c>
      <c r="L131" s="1">
        <v>42137</v>
      </c>
      <c r="M131" s="2">
        <v>7793.96</v>
      </c>
      <c r="N131" s="2" t="s">
        <v>2949</v>
      </c>
      <c r="O131" t="s">
        <v>111</v>
      </c>
      <c r="P131" t="s">
        <v>205</v>
      </c>
      <c r="Q131" t="s">
        <v>72</v>
      </c>
      <c r="R131">
        <v>11</v>
      </c>
      <c r="S131" t="s">
        <v>2951</v>
      </c>
    </row>
    <row r="132" spans="1:19" x14ac:dyDescent="0.3">
      <c r="A132" t="s">
        <v>493</v>
      </c>
      <c r="B132" t="s">
        <v>17</v>
      </c>
      <c r="C132" t="s">
        <v>237</v>
      </c>
      <c r="D132" t="s">
        <v>24</v>
      </c>
      <c r="E132">
        <v>40</v>
      </c>
      <c r="F132" t="s">
        <v>2946</v>
      </c>
      <c r="G132" t="s">
        <v>488</v>
      </c>
      <c r="H132" t="s">
        <v>2534</v>
      </c>
      <c r="I132" t="s">
        <v>271</v>
      </c>
      <c r="J132" t="s">
        <v>489</v>
      </c>
      <c r="K132" t="s">
        <v>28</v>
      </c>
      <c r="L132" s="1">
        <v>44825</v>
      </c>
      <c r="M132" s="2">
        <v>714155</v>
      </c>
      <c r="N132" s="2" t="s">
        <v>2950</v>
      </c>
      <c r="O132" t="s">
        <v>130</v>
      </c>
      <c r="P132" t="s">
        <v>21</v>
      </c>
      <c r="Q132" t="s">
        <v>65</v>
      </c>
      <c r="R132">
        <v>3.6</v>
      </c>
      <c r="S132" t="s">
        <v>2952</v>
      </c>
    </row>
    <row r="133" spans="1:19" x14ac:dyDescent="0.3">
      <c r="A133" t="s">
        <v>495</v>
      </c>
      <c r="B133" t="s">
        <v>207</v>
      </c>
      <c r="C133" t="s">
        <v>277</v>
      </c>
      <c r="D133" t="s">
        <v>45</v>
      </c>
      <c r="E133">
        <v>58</v>
      </c>
      <c r="F133" t="s">
        <v>2947</v>
      </c>
      <c r="G133" t="s">
        <v>491</v>
      </c>
      <c r="H133" t="s">
        <v>492</v>
      </c>
      <c r="I133" t="s">
        <v>271</v>
      </c>
      <c r="J133" t="s">
        <v>129</v>
      </c>
      <c r="K133" t="s">
        <v>28</v>
      </c>
      <c r="L133" s="1">
        <v>43627</v>
      </c>
      <c r="M133" s="2">
        <v>839584</v>
      </c>
      <c r="N133" s="2" t="s">
        <v>2950</v>
      </c>
      <c r="O133" t="s">
        <v>111</v>
      </c>
      <c r="P133" t="s">
        <v>205</v>
      </c>
      <c r="Q133" t="s">
        <v>72</v>
      </c>
      <c r="R133">
        <v>6.9</v>
      </c>
      <c r="S133" t="s">
        <v>2953</v>
      </c>
    </row>
    <row r="134" spans="1:19" x14ac:dyDescent="0.3">
      <c r="A134" t="s">
        <v>496</v>
      </c>
      <c r="B134" t="s">
        <v>212</v>
      </c>
      <c r="C134" t="s">
        <v>336</v>
      </c>
      <c r="D134" t="s">
        <v>24</v>
      </c>
      <c r="E134">
        <v>41</v>
      </c>
      <c r="F134" t="s">
        <v>2946</v>
      </c>
      <c r="G134" t="s">
        <v>494</v>
      </c>
      <c r="H134" t="s">
        <v>2535</v>
      </c>
      <c r="I134" t="s">
        <v>592</v>
      </c>
      <c r="J134" t="s">
        <v>247</v>
      </c>
      <c r="K134" t="s">
        <v>71</v>
      </c>
      <c r="L134" s="1">
        <v>42483</v>
      </c>
      <c r="N134" s="2" t="s">
        <v>2369</v>
      </c>
      <c r="O134" t="s">
        <v>41</v>
      </c>
      <c r="P134" t="s">
        <v>152</v>
      </c>
      <c r="Q134" t="s">
        <v>158</v>
      </c>
      <c r="R134">
        <v>10.1</v>
      </c>
      <c r="S134" t="s">
        <v>2951</v>
      </c>
    </row>
    <row r="135" spans="1:19" x14ac:dyDescent="0.3">
      <c r="A135" t="s">
        <v>498</v>
      </c>
      <c r="B135" t="s">
        <v>233</v>
      </c>
      <c r="C135" t="s">
        <v>18</v>
      </c>
      <c r="D135" t="s">
        <v>45</v>
      </c>
      <c r="E135">
        <v>27</v>
      </c>
      <c r="F135" t="s">
        <v>2945</v>
      </c>
      <c r="G135" t="s">
        <v>2369</v>
      </c>
      <c r="H135" t="s">
        <v>2536</v>
      </c>
      <c r="I135" t="s">
        <v>368</v>
      </c>
      <c r="J135" t="s">
        <v>330</v>
      </c>
      <c r="K135" t="s">
        <v>71</v>
      </c>
      <c r="L135" s="1">
        <v>42185</v>
      </c>
      <c r="M135" s="2">
        <v>800426</v>
      </c>
      <c r="N135" s="2" t="s">
        <v>2950</v>
      </c>
      <c r="O135" t="s">
        <v>130</v>
      </c>
      <c r="P135" t="s">
        <v>353</v>
      </c>
      <c r="Q135" t="s">
        <v>72</v>
      </c>
      <c r="R135">
        <v>10.9</v>
      </c>
      <c r="S135" t="s">
        <v>2951</v>
      </c>
    </row>
    <row r="136" spans="1:19" x14ac:dyDescent="0.3">
      <c r="A136" t="s">
        <v>500</v>
      </c>
      <c r="B136" t="s">
        <v>145</v>
      </c>
      <c r="C136" t="s">
        <v>264</v>
      </c>
      <c r="D136" t="s">
        <v>24</v>
      </c>
      <c r="E136">
        <v>50</v>
      </c>
      <c r="F136" t="s">
        <v>2947</v>
      </c>
      <c r="G136" t="s">
        <v>497</v>
      </c>
      <c r="H136" t="s">
        <v>2369</v>
      </c>
      <c r="I136" t="s">
        <v>271</v>
      </c>
      <c r="J136" t="s">
        <v>95</v>
      </c>
      <c r="K136" t="s">
        <v>35</v>
      </c>
      <c r="L136" s="1">
        <v>42738</v>
      </c>
      <c r="M136" s="2">
        <v>818908</v>
      </c>
      <c r="N136" s="2" t="s">
        <v>2950</v>
      </c>
      <c r="O136" t="s">
        <v>111</v>
      </c>
      <c r="P136" t="s">
        <v>21</v>
      </c>
      <c r="Q136" t="s">
        <v>158</v>
      </c>
      <c r="R136">
        <v>9.4</v>
      </c>
      <c r="S136" t="s">
        <v>2951</v>
      </c>
    </row>
    <row r="137" spans="1:19" x14ac:dyDescent="0.3">
      <c r="A137" t="s">
        <v>501</v>
      </c>
      <c r="B137" t="s">
        <v>44</v>
      </c>
      <c r="C137" t="s">
        <v>62</v>
      </c>
      <c r="D137" t="s">
        <v>24</v>
      </c>
      <c r="E137">
        <v>56</v>
      </c>
      <c r="F137" t="s">
        <v>2947</v>
      </c>
      <c r="G137" t="s">
        <v>499</v>
      </c>
      <c r="H137" t="s">
        <v>2537</v>
      </c>
      <c r="I137" t="s">
        <v>485</v>
      </c>
      <c r="J137" t="s">
        <v>185</v>
      </c>
      <c r="K137" t="s">
        <v>35</v>
      </c>
      <c r="L137" s="1">
        <v>42295</v>
      </c>
      <c r="M137" s="2">
        <v>396793</v>
      </c>
      <c r="N137" s="2" t="s">
        <v>2948</v>
      </c>
      <c r="O137" t="s">
        <v>41</v>
      </c>
      <c r="P137" t="s">
        <v>205</v>
      </c>
      <c r="Q137" t="s">
        <v>79</v>
      </c>
      <c r="R137">
        <v>10.6</v>
      </c>
      <c r="S137" t="s">
        <v>2951</v>
      </c>
    </row>
    <row r="138" spans="1:19" x14ac:dyDescent="0.3">
      <c r="A138" t="s">
        <v>2320</v>
      </c>
      <c r="B138" t="s">
        <v>127</v>
      </c>
      <c r="C138" t="s">
        <v>31</v>
      </c>
      <c r="D138" t="s">
        <v>24</v>
      </c>
      <c r="E138">
        <v>22</v>
      </c>
      <c r="F138" t="s">
        <v>2945</v>
      </c>
      <c r="G138" t="s">
        <v>2373</v>
      </c>
      <c r="H138" t="s">
        <v>2538</v>
      </c>
      <c r="I138" t="s">
        <v>368</v>
      </c>
      <c r="J138" t="s">
        <v>20</v>
      </c>
      <c r="K138" t="s">
        <v>28</v>
      </c>
      <c r="L138" s="1">
        <v>42574</v>
      </c>
      <c r="N138" s="2" t="s">
        <v>2369</v>
      </c>
      <c r="O138" t="s">
        <v>130</v>
      </c>
      <c r="P138" t="s">
        <v>353</v>
      </c>
      <c r="Q138" t="s">
        <v>158</v>
      </c>
      <c r="R138">
        <v>9.8000000000000007</v>
      </c>
      <c r="S138" t="s">
        <v>2951</v>
      </c>
    </row>
    <row r="139" spans="1:19" x14ac:dyDescent="0.3">
      <c r="A139" t="s">
        <v>505</v>
      </c>
      <c r="B139" t="s">
        <v>103</v>
      </c>
      <c r="C139" t="s">
        <v>249</v>
      </c>
      <c r="D139" t="s">
        <v>24</v>
      </c>
      <c r="E139">
        <v>49</v>
      </c>
      <c r="F139" t="s">
        <v>2947</v>
      </c>
      <c r="G139" t="s">
        <v>502</v>
      </c>
      <c r="H139" t="s">
        <v>2369</v>
      </c>
      <c r="I139" t="s">
        <v>485</v>
      </c>
      <c r="J139" t="s">
        <v>503</v>
      </c>
      <c r="K139" t="s">
        <v>71</v>
      </c>
      <c r="M139" s="2">
        <v>480099</v>
      </c>
      <c r="N139" s="2" t="s">
        <v>2948</v>
      </c>
      <c r="O139" t="s">
        <v>198</v>
      </c>
      <c r="P139" t="s">
        <v>152</v>
      </c>
      <c r="Q139" t="s">
        <v>79</v>
      </c>
      <c r="R139">
        <v>6.8</v>
      </c>
      <c r="S139" t="s">
        <v>2953</v>
      </c>
    </row>
    <row r="140" spans="1:19" x14ac:dyDescent="0.3">
      <c r="A140" t="s">
        <v>507</v>
      </c>
      <c r="B140" t="s">
        <v>92</v>
      </c>
      <c r="C140" t="s">
        <v>38</v>
      </c>
      <c r="D140" t="s">
        <v>24</v>
      </c>
      <c r="E140">
        <v>45</v>
      </c>
      <c r="F140" t="s">
        <v>2946</v>
      </c>
      <c r="G140" t="s">
        <v>504</v>
      </c>
      <c r="H140" t="s">
        <v>2539</v>
      </c>
      <c r="I140" t="s">
        <v>394</v>
      </c>
      <c r="J140" t="s">
        <v>410</v>
      </c>
      <c r="K140" t="s">
        <v>35</v>
      </c>
      <c r="L140" s="1">
        <v>44242</v>
      </c>
      <c r="M140" s="2">
        <v>684349</v>
      </c>
      <c r="N140" s="2" t="s">
        <v>2950</v>
      </c>
      <c r="O140" t="s">
        <v>130</v>
      </c>
      <c r="P140" t="s">
        <v>90</v>
      </c>
      <c r="Q140" t="s">
        <v>244</v>
      </c>
      <c r="R140">
        <v>5.2</v>
      </c>
      <c r="S140" t="s">
        <v>2953</v>
      </c>
    </row>
    <row r="141" spans="1:19" x14ac:dyDescent="0.3">
      <c r="A141" t="s">
        <v>508</v>
      </c>
      <c r="B141" t="s">
        <v>56</v>
      </c>
      <c r="C141" t="s">
        <v>348</v>
      </c>
      <c r="D141" t="s">
        <v>24</v>
      </c>
      <c r="E141">
        <v>32</v>
      </c>
      <c r="F141" t="s">
        <v>2946</v>
      </c>
      <c r="G141" t="s">
        <v>506</v>
      </c>
      <c r="H141" t="s">
        <v>2369</v>
      </c>
      <c r="I141" t="s">
        <v>209</v>
      </c>
      <c r="J141" t="s">
        <v>78</v>
      </c>
      <c r="K141" t="s">
        <v>71</v>
      </c>
      <c r="L141" s="1">
        <v>44582</v>
      </c>
      <c r="M141" s="2">
        <v>576144</v>
      </c>
      <c r="N141" s="2" t="s">
        <v>2950</v>
      </c>
      <c r="O141" t="s">
        <v>216</v>
      </c>
      <c r="P141" t="s">
        <v>353</v>
      </c>
      <c r="Q141" t="s">
        <v>72</v>
      </c>
      <c r="R141">
        <v>4.3</v>
      </c>
      <c r="S141" t="s">
        <v>2952</v>
      </c>
    </row>
    <row r="142" spans="1:19" x14ac:dyDescent="0.3">
      <c r="A142" t="s">
        <v>510</v>
      </c>
      <c r="B142" t="s">
        <v>207</v>
      </c>
      <c r="C142" t="s">
        <v>273</v>
      </c>
      <c r="D142" t="s">
        <v>24</v>
      </c>
      <c r="E142">
        <v>35</v>
      </c>
      <c r="F142" t="s">
        <v>2946</v>
      </c>
      <c r="G142" t="s">
        <v>2426</v>
      </c>
      <c r="H142" t="s">
        <v>2369</v>
      </c>
      <c r="I142" t="s">
        <v>235</v>
      </c>
      <c r="J142" t="s">
        <v>445</v>
      </c>
      <c r="K142" t="s">
        <v>48</v>
      </c>
      <c r="L142" s="1">
        <v>44616</v>
      </c>
      <c r="M142" s="2">
        <v>255409</v>
      </c>
      <c r="N142" s="2" t="s">
        <v>2948</v>
      </c>
      <c r="O142" t="s">
        <v>41</v>
      </c>
      <c r="P142" t="s">
        <v>21</v>
      </c>
      <c r="Q142" t="s">
        <v>72</v>
      </c>
      <c r="R142">
        <v>4.2</v>
      </c>
      <c r="S142" t="s">
        <v>2952</v>
      </c>
    </row>
    <row r="143" spans="1:19" x14ac:dyDescent="0.3">
      <c r="A143" t="s">
        <v>513</v>
      </c>
      <c r="B143" t="s">
        <v>74</v>
      </c>
      <c r="C143" t="s">
        <v>229</v>
      </c>
      <c r="D143" t="s">
        <v>24</v>
      </c>
      <c r="E143">
        <v>37</v>
      </c>
      <c r="F143" t="s">
        <v>2946</v>
      </c>
      <c r="G143" t="s">
        <v>509</v>
      </c>
      <c r="H143" t="s">
        <v>2540</v>
      </c>
      <c r="I143" t="s">
        <v>209</v>
      </c>
      <c r="J143" t="s">
        <v>292</v>
      </c>
      <c r="K143" t="s">
        <v>48</v>
      </c>
      <c r="M143" s="2">
        <v>865478</v>
      </c>
      <c r="N143" s="2" t="s">
        <v>2950</v>
      </c>
      <c r="O143" t="s">
        <v>253</v>
      </c>
      <c r="P143" t="s">
        <v>152</v>
      </c>
      <c r="Q143" t="s">
        <v>244</v>
      </c>
      <c r="R143">
        <v>3.8</v>
      </c>
      <c r="S143" t="s">
        <v>2952</v>
      </c>
    </row>
    <row r="144" spans="1:19" x14ac:dyDescent="0.3">
      <c r="A144" t="s">
        <v>515</v>
      </c>
      <c r="B144" t="s">
        <v>74</v>
      </c>
      <c r="C144" t="s">
        <v>362</v>
      </c>
      <c r="D144" t="s">
        <v>24</v>
      </c>
      <c r="E144">
        <v>51</v>
      </c>
      <c r="F144" t="s">
        <v>2947</v>
      </c>
      <c r="G144" t="s">
        <v>511</v>
      </c>
      <c r="H144" t="s">
        <v>2541</v>
      </c>
      <c r="I144" t="s">
        <v>517</v>
      </c>
      <c r="J144" t="s">
        <v>512</v>
      </c>
      <c r="K144" t="s">
        <v>48</v>
      </c>
      <c r="L144" s="1">
        <v>42315</v>
      </c>
      <c r="M144" s="2">
        <v>749809</v>
      </c>
      <c r="N144" s="2" t="s">
        <v>2950</v>
      </c>
      <c r="O144" t="s">
        <v>253</v>
      </c>
      <c r="P144" t="s">
        <v>353</v>
      </c>
      <c r="Q144" t="s">
        <v>158</v>
      </c>
      <c r="R144">
        <v>10.5</v>
      </c>
      <c r="S144" t="s">
        <v>2951</v>
      </c>
    </row>
    <row r="145" spans="1:19" x14ac:dyDescent="0.3">
      <c r="A145" t="s">
        <v>518</v>
      </c>
      <c r="B145" t="s">
        <v>17</v>
      </c>
      <c r="C145" t="s">
        <v>277</v>
      </c>
      <c r="D145" t="s">
        <v>24</v>
      </c>
      <c r="E145">
        <v>43</v>
      </c>
      <c r="F145" t="s">
        <v>2946</v>
      </c>
      <c r="G145" t="s">
        <v>2427</v>
      </c>
      <c r="H145" t="s">
        <v>514</v>
      </c>
      <c r="I145" t="s">
        <v>368</v>
      </c>
      <c r="J145" t="s">
        <v>227</v>
      </c>
      <c r="K145" t="s">
        <v>35</v>
      </c>
      <c r="L145" s="1">
        <v>42625</v>
      </c>
      <c r="M145" s="2">
        <v>814061</v>
      </c>
      <c r="N145" s="2" t="s">
        <v>2950</v>
      </c>
      <c r="O145" t="s">
        <v>130</v>
      </c>
      <c r="P145" t="s">
        <v>21</v>
      </c>
      <c r="Q145" t="s">
        <v>65</v>
      </c>
      <c r="R145">
        <v>9.6999999999999993</v>
      </c>
      <c r="S145" t="s">
        <v>2951</v>
      </c>
    </row>
    <row r="146" spans="1:19" x14ac:dyDescent="0.3">
      <c r="A146" t="s">
        <v>2321</v>
      </c>
      <c r="B146" t="s">
        <v>310</v>
      </c>
      <c r="C146" t="s">
        <v>516</v>
      </c>
      <c r="D146" t="s">
        <v>45</v>
      </c>
      <c r="F146" t="s">
        <v>2369</v>
      </c>
      <c r="G146" t="s">
        <v>2428</v>
      </c>
      <c r="H146" t="s">
        <v>2369</v>
      </c>
      <c r="I146" t="s">
        <v>517</v>
      </c>
      <c r="J146" t="s">
        <v>512</v>
      </c>
      <c r="K146" t="s">
        <v>71</v>
      </c>
      <c r="L146" s="1">
        <v>44596</v>
      </c>
      <c r="M146" s="2">
        <v>539259</v>
      </c>
      <c r="N146" s="2" t="s">
        <v>2950</v>
      </c>
      <c r="O146" t="s">
        <v>130</v>
      </c>
      <c r="P146" t="s">
        <v>90</v>
      </c>
      <c r="Q146" t="s">
        <v>244</v>
      </c>
      <c r="R146">
        <v>4.3</v>
      </c>
      <c r="S146" t="s">
        <v>2952</v>
      </c>
    </row>
    <row r="147" spans="1:19" x14ac:dyDescent="0.3">
      <c r="A147" t="s">
        <v>523</v>
      </c>
      <c r="B147" t="s">
        <v>17</v>
      </c>
      <c r="C147" t="s">
        <v>264</v>
      </c>
      <c r="D147" t="s">
        <v>45</v>
      </c>
      <c r="E147">
        <v>32</v>
      </c>
      <c r="F147" t="s">
        <v>2946</v>
      </c>
      <c r="G147" t="s">
        <v>479</v>
      </c>
      <c r="H147" t="s">
        <v>2542</v>
      </c>
      <c r="I147" t="s">
        <v>394</v>
      </c>
      <c r="J147" t="s">
        <v>519</v>
      </c>
      <c r="K147" t="s">
        <v>48</v>
      </c>
      <c r="L147" s="1">
        <v>42403</v>
      </c>
      <c r="M147" s="2">
        <v>558344</v>
      </c>
      <c r="N147" s="2" t="s">
        <v>2950</v>
      </c>
      <c r="O147" t="s">
        <v>130</v>
      </c>
      <c r="P147" t="s">
        <v>21</v>
      </c>
      <c r="Q147" t="s">
        <v>65</v>
      </c>
      <c r="R147">
        <v>10.3</v>
      </c>
      <c r="S147" t="s">
        <v>2951</v>
      </c>
    </row>
    <row r="148" spans="1:19" x14ac:dyDescent="0.3">
      <c r="A148" t="s">
        <v>525</v>
      </c>
      <c r="B148" t="s">
        <v>17</v>
      </c>
      <c r="C148" t="s">
        <v>23</v>
      </c>
      <c r="D148" t="s">
        <v>45</v>
      </c>
      <c r="E148">
        <v>27</v>
      </c>
      <c r="F148" t="s">
        <v>2945</v>
      </c>
      <c r="G148" t="s">
        <v>520</v>
      </c>
      <c r="H148" t="s">
        <v>521</v>
      </c>
      <c r="I148" t="s">
        <v>592</v>
      </c>
      <c r="J148" t="s">
        <v>522</v>
      </c>
      <c r="K148" t="s">
        <v>48</v>
      </c>
      <c r="L148" s="1">
        <v>42069</v>
      </c>
      <c r="M148" s="2">
        <v>590622</v>
      </c>
      <c r="N148" s="2" t="s">
        <v>2950</v>
      </c>
      <c r="O148" t="s">
        <v>111</v>
      </c>
      <c r="P148" t="s">
        <v>353</v>
      </c>
      <c r="Q148" t="s">
        <v>244</v>
      </c>
      <c r="R148">
        <v>11.2</v>
      </c>
      <c r="S148" t="s">
        <v>2951</v>
      </c>
    </row>
    <row r="149" spans="1:19" x14ac:dyDescent="0.3">
      <c r="A149" t="s">
        <v>529</v>
      </c>
      <c r="B149" t="s">
        <v>359</v>
      </c>
      <c r="C149" t="s">
        <v>176</v>
      </c>
      <c r="D149" t="s">
        <v>45</v>
      </c>
      <c r="E149">
        <v>33</v>
      </c>
      <c r="F149" t="s">
        <v>2946</v>
      </c>
      <c r="G149" t="s">
        <v>2429</v>
      </c>
      <c r="H149" t="s">
        <v>2369</v>
      </c>
      <c r="I149" t="s">
        <v>271</v>
      </c>
      <c r="J149" t="s">
        <v>524</v>
      </c>
      <c r="K149" t="s">
        <v>71</v>
      </c>
      <c r="L149" s="1">
        <v>43948</v>
      </c>
      <c r="M149" s="2">
        <v>601682</v>
      </c>
      <c r="N149" s="2" t="s">
        <v>2950</v>
      </c>
      <c r="O149" t="s">
        <v>111</v>
      </c>
      <c r="P149" t="s">
        <v>152</v>
      </c>
      <c r="Q149" t="s">
        <v>158</v>
      </c>
      <c r="R149">
        <v>6</v>
      </c>
      <c r="S149" t="s">
        <v>2953</v>
      </c>
    </row>
    <row r="150" spans="1:19" x14ac:dyDescent="0.3">
      <c r="A150" t="s">
        <v>531</v>
      </c>
      <c r="B150" t="s">
        <v>141</v>
      </c>
      <c r="C150" t="s">
        <v>183</v>
      </c>
      <c r="D150" t="s">
        <v>45</v>
      </c>
      <c r="E150">
        <v>30</v>
      </c>
      <c r="F150" t="s">
        <v>2945</v>
      </c>
      <c r="G150" t="s">
        <v>526</v>
      </c>
      <c r="H150" t="s">
        <v>527</v>
      </c>
      <c r="I150" t="s">
        <v>235</v>
      </c>
      <c r="J150" t="s">
        <v>528</v>
      </c>
      <c r="K150" t="s">
        <v>28</v>
      </c>
      <c r="L150" s="1">
        <v>43591</v>
      </c>
      <c r="M150" s="2">
        <v>471627</v>
      </c>
      <c r="N150" s="2" t="s">
        <v>2948</v>
      </c>
      <c r="O150" t="s">
        <v>130</v>
      </c>
      <c r="P150" t="s">
        <v>353</v>
      </c>
      <c r="Q150" t="s">
        <v>65</v>
      </c>
      <c r="R150">
        <v>7</v>
      </c>
      <c r="S150" t="s">
        <v>2953</v>
      </c>
    </row>
    <row r="151" spans="1:19" x14ac:dyDescent="0.3">
      <c r="A151" t="s">
        <v>533</v>
      </c>
      <c r="B151" t="s">
        <v>141</v>
      </c>
      <c r="C151" t="s">
        <v>161</v>
      </c>
      <c r="D151" t="s">
        <v>45</v>
      </c>
      <c r="E151">
        <v>48</v>
      </c>
      <c r="F151" t="s">
        <v>2947</v>
      </c>
      <c r="G151" t="s">
        <v>530</v>
      </c>
      <c r="H151" t="s">
        <v>2369</v>
      </c>
      <c r="I151" t="s">
        <v>235</v>
      </c>
      <c r="J151" t="s">
        <v>338</v>
      </c>
      <c r="K151" t="s">
        <v>48</v>
      </c>
      <c r="L151" s="1">
        <v>44354</v>
      </c>
      <c r="M151" s="2">
        <v>85324</v>
      </c>
      <c r="N151" s="2" t="s">
        <v>2949</v>
      </c>
      <c r="O151" t="s">
        <v>41</v>
      </c>
      <c r="P151" t="s">
        <v>21</v>
      </c>
      <c r="Q151" t="s">
        <v>244</v>
      </c>
      <c r="R151">
        <v>4.9000000000000004</v>
      </c>
      <c r="S151" t="s">
        <v>2952</v>
      </c>
    </row>
    <row r="152" spans="1:19" x14ac:dyDescent="0.3">
      <c r="A152" t="s">
        <v>536</v>
      </c>
      <c r="B152" t="s">
        <v>17</v>
      </c>
      <c r="C152" t="s">
        <v>57</v>
      </c>
      <c r="D152" t="s">
        <v>24</v>
      </c>
      <c r="E152">
        <v>40</v>
      </c>
      <c r="F152" t="s">
        <v>2946</v>
      </c>
      <c r="G152" t="s">
        <v>532</v>
      </c>
      <c r="H152" t="s">
        <v>2543</v>
      </c>
      <c r="I152" t="s">
        <v>592</v>
      </c>
      <c r="J152" t="s">
        <v>157</v>
      </c>
      <c r="K152" t="s">
        <v>71</v>
      </c>
      <c r="L152" s="1">
        <v>44179</v>
      </c>
      <c r="M152" s="2">
        <v>114303</v>
      </c>
      <c r="N152" s="2" t="s">
        <v>2949</v>
      </c>
      <c r="O152" t="s">
        <v>111</v>
      </c>
      <c r="P152" t="s">
        <v>205</v>
      </c>
      <c r="Q152" t="s">
        <v>244</v>
      </c>
      <c r="R152">
        <v>5.4</v>
      </c>
      <c r="S152" t="s">
        <v>2953</v>
      </c>
    </row>
    <row r="153" spans="1:19" x14ac:dyDescent="0.3">
      <c r="A153" t="s">
        <v>538</v>
      </c>
      <c r="B153" t="s">
        <v>67</v>
      </c>
      <c r="C153" t="s">
        <v>86</v>
      </c>
      <c r="D153" t="s">
        <v>24</v>
      </c>
      <c r="E153">
        <v>50</v>
      </c>
      <c r="F153" t="s">
        <v>2947</v>
      </c>
      <c r="G153" t="s">
        <v>534</v>
      </c>
      <c r="H153" t="s">
        <v>535</v>
      </c>
      <c r="I153" t="s">
        <v>394</v>
      </c>
      <c r="J153" t="s">
        <v>243</v>
      </c>
      <c r="K153" t="s">
        <v>71</v>
      </c>
      <c r="M153" s="2">
        <v>441996</v>
      </c>
      <c r="N153" s="2" t="s">
        <v>2948</v>
      </c>
      <c r="O153" t="s">
        <v>130</v>
      </c>
      <c r="P153" t="s">
        <v>152</v>
      </c>
      <c r="Q153" t="s">
        <v>244</v>
      </c>
      <c r="R153">
        <v>7.2</v>
      </c>
      <c r="S153" t="s">
        <v>2953</v>
      </c>
    </row>
    <row r="154" spans="1:19" x14ac:dyDescent="0.3">
      <c r="A154" t="s">
        <v>541</v>
      </c>
      <c r="B154" t="s">
        <v>377</v>
      </c>
      <c r="C154" t="s">
        <v>237</v>
      </c>
      <c r="D154" t="s">
        <v>24</v>
      </c>
      <c r="E154">
        <v>42</v>
      </c>
      <c r="F154" t="s">
        <v>2946</v>
      </c>
      <c r="G154" t="s">
        <v>537</v>
      </c>
      <c r="H154" t="s">
        <v>2544</v>
      </c>
      <c r="I154" t="s">
        <v>485</v>
      </c>
      <c r="J154" t="s">
        <v>257</v>
      </c>
      <c r="K154" t="s">
        <v>48</v>
      </c>
      <c r="L154" s="1">
        <v>43409</v>
      </c>
      <c r="N154" s="2" t="s">
        <v>2369</v>
      </c>
      <c r="O154" t="s">
        <v>253</v>
      </c>
      <c r="P154" t="s">
        <v>152</v>
      </c>
      <c r="Q154" t="s">
        <v>72</v>
      </c>
      <c r="R154">
        <v>7.5</v>
      </c>
      <c r="S154" t="s">
        <v>2953</v>
      </c>
    </row>
    <row r="155" spans="1:19" x14ac:dyDescent="0.3">
      <c r="A155" t="s">
        <v>545</v>
      </c>
      <c r="B155" t="s">
        <v>98</v>
      </c>
      <c r="C155" t="s">
        <v>183</v>
      </c>
      <c r="D155" t="s">
        <v>45</v>
      </c>
      <c r="E155">
        <v>41</v>
      </c>
      <c r="F155" t="s">
        <v>2946</v>
      </c>
      <c r="G155" t="s">
        <v>539</v>
      </c>
      <c r="H155" t="s">
        <v>540</v>
      </c>
      <c r="I155" t="s">
        <v>485</v>
      </c>
      <c r="J155" t="s">
        <v>379</v>
      </c>
      <c r="K155" t="s">
        <v>48</v>
      </c>
      <c r="L155" s="1">
        <v>42670</v>
      </c>
      <c r="M155" s="2">
        <v>6395.6500000000005</v>
      </c>
      <c r="N155" s="2" t="s">
        <v>2949</v>
      </c>
      <c r="O155" t="s">
        <v>216</v>
      </c>
      <c r="P155" t="s">
        <v>152</v>
      </c>
      <c r="Q155" t="s">
        <v>72</v>
      </c>
      <c r="R155">
        <v>9.5</v>
      </c>
      <c r="S155" t="s">
        <v>2951</v>
      </c>
    </row>
    <row r="156" spans="1:19" x14ac:dyDescent="0.3">
      <c r="A156" t="s">
        <v>548</v>
      </c>
      <c r="B156" t="s">
        <v>103</v>
      </c>
      <c r="C156" t="s">
        <v>237</v>
      </c>
      <c r="D156" t="s">
        <v>24</v>
      </c>
      <c r="E156">
        <v>56</v>
      </c>
      <c r="F156" t="s">
        <v>2947</v>
      </c>
      <c r="G156" t="s">
        <v>542</v>
      </c>
      <c r="H156" t="s">
        <v>543</v>
      </c>
      <c r="I156" t="s">
        <v>235</v>
      </c>
      <c r="J156" t="s">
        <v>544</v>
      </c>
      <c r="K156" t="s">
        <v>28</v>
      </c>
      <c r="L156" s="1">
        <v>42067</v>
      </c>
      <c r="M156" s="2">
        <v>167649</v>
      </c>
      <c r="N156" s="2" t="s">
        <v>2949</v>
      </c>
      <c r="O156" t="s">
        <v>216</v>
      </c>
      <c r="P156" t="s">
        <v>353</v>
      </c>
      <c r="Q156" t="s">
        <v>79</v>
      </c>
      <c r="R156">
        <v>11.1</v>
      </c>
      <c r="S156" t="s">
        <v>2951</v>
      </c>
    </row>
    <row r="157" spans="1:19" x14ac:dyDescent="0.3">
      <c r="A157" t="s">
        <v>551</v>
      </c>
      <c r="B157" t="s">
        <v>233</v>
      </c>
      <c r="C157" t="s">
        <v>44</v>
      </c>
      <c r="D157" t="s">
        <v>24</v>
      </c>
      <c r="E157">
        <v>39</v>
      </c>
      <c r="F157" t="s">
        <v>2946</v>
      </c>
      <c r="G157" t="s">
        <v>546</v>
      </c>
      <c r="H157" t="s">
        <v>547</v>
      </c>
      <c r="I157" t="s">
        <v>271</v>
      </c>
      <c r="J157" t="s">
        <v>135</v>
      </c>
      <c r="K157" t="s">
        <v>71</v>
      </c>
      <c r="L157" s="1">
        <v>42032</v>
      </c>
      <c r="M157" s="2">
        <v>509350</v>
      </c>
      <c r="N157" s="2" t="s">
        <v>2950</v>
      </c>
      <c r="O157" t="s">
        <v>253</v>
      </c>
      <c r="P157" t="s">
        <v>152</v>
      </c>
      <c r="Q157" t="s">
        <v>244</v>
      </c>
      <c r="R157">
        <v>11.3</v>
      </c>
      <c r="S157" t="s">
        <v>2951</v>
      </c>
    </row>
    <row r="158" spans="1:19" x14ac:dyDescent="0.3">
      <c r="A158" t="s">
        <v>2322</v>
      </c>
      <c r="B158" t="s">
        <v>416</v>
      </c>
      <c r="C158" t="s">
        <v>82</v>
      </c>
      <c r="D158" t="s">
        <v>45</v>
      </c>
      <c r="E158">
        <v>52</v>
      </c>
      <c r="F158" t="s">
        <v>2947</v>
      </c>
      <c r="G158" t="s">
        <v>549</v>
      </c>
      <c r="H158" t="s">
        <v>2369</v>
      </c>
      <c r="I158" t="s">
        <v>592</v>
      </c>
      <c r="J158" t="s">
        <v>550</v>
      </c>
      <c r="K158" t="s">
        <v>71</v>
      </c>
      <c r="L158" s="1">
        <v>44577</v>
      </c>
      <c r="M158" s="2">
        <v>799231</v>
      </c>
      <c r="N158" s="2" t="s">
        <v>2950</v>
      </c>
      <c r="O158" t="s">
        <v>130</v>
      </c>
      <c r="P158" t="s">
        <v>353</v>
      </c>
      <c r="Q158" t="s">
        <v>244</v>
      </c>
      <c r="R158">
        <v>4.3</v>
      </c>
      <c r="S158" t="s">
        <v>2952</v>
      </c>
    </row>
    <row r="159" spans="1:19" x14ac:dyDescent="0.3">
      <c r="A159" t="s">
        <v>554</v>
      </c>
      <c r="B159" t="s">
        <v>233</v>
      </c>
      <c r="C159" t="s">
        <v>362</v>
      </c>
      <c r="D159" t="s">
        <v>45</v>
      </c>
      <c r="E159">
        <v>32</v>
      </c>
      <c r="F159" t="s">
        <v>2946</v>
      </c>
      <c r="G159" t="s">
        <v>552</v>
      </c>
      <c r="H159" t="s">
        <v>2545</v>
      </c>
      <c r="I159" t="s">
        <v>485</v>
      </c>
      <c r="J159" t="s">
        <v>459</v>
      </c>
      <c r="K159" t="s">
        <v>48</v>
      </c>
      <c r="M159" s="2">
        <v>436844</v>
      </c>
      <c r="N159" s="2" t="s">
        <v>2948</v>
      </c>
      <c r="O159" t="s">
        <v>111</v>
      </c>
      <c r="P159" t="s">
        <v>152</v>
      </c>
      <c r="Q159" t="s">
        <v>65</v>
      </c>
      <c r="R159">
        <v>6.7</v>
      </c>
      <c r="S159" t="s">
        <v>2953</v>
      </c>
    </row>
    <row r="160" spans="1:19" x14ac:dyDescent="0.3">
      <c r="A160" t="s">
        <v>557</v>
      </c>
      <c r="B160" t="s">
        <v>301</v>
      </c>
      <c r="C160" t="s">
        <v>18</v>
      </c>
      <c r="D160" t="s">
        <v>45</v>
      </c>
      <c r="E160">
        <v>49</v>
      </c>
      <c r="F160" t="s">
        <v>2947</v>
      </c>
      <c r="G160" t="s">
        <v>2430</v>
      </c>
      <c r="H160" t="s">
        <v>553</v>
      </c>
      <c r="I160" t="s">
        <v>271</v>
      </c>
      <c r="J160" t="s">
        <v>70</v>
      </c>
      <c r="K160" t="s">
        <v>71</v>
      </c>
      <c r="L160" s="1">
        <v>43988</v>
      </c>
      <c r="M160" s="2">
        <v>874122</v>
      </c>
      <c r="N160" s="2" t="s">
        <v>2950</v>
      </c>
      <c r="O160" t="s">
        <v>111</v>
      </c>
      <c r="P160" t="s">
        <v>21</v>
      </c>
      <c r="Q160" t="s">
        <v>244</v>
      </c>
      <c r="R160">
        <v>5.9</v>
      </c>
      <c r="S160" t="s">
        <v>2953</v>
      </c>
    </row>
    <row r="161" spans="1:19" x14ac:dyDescent="0.3">
      <c r="A161" t="s">
        <v>560</v>
      </c>
      <c r="B161" t="s">
        <v>555</v>
      </c>
      <c r="C161" t="s">
        <v>475</v>
      </c>
      <c r="D161" t="s">
        <v>24</v>
      </c>
      <c r="E161">
        <v>54</v>
      </c>
      <c r="F161" t="s">
        <v>2947</v>
      </c>
      <c r="G161" t="s">
        <v>556</v>
      </c>
      <c r="H161" t="s">
        <v>2546</v>
      </c>
      <c r="I161" t="s">
        <v>53</v>
      </c>
      <c r="J161" t="s">
        <v>252</v>
      </c>
      <c r="K161" t="s">
        <v>71</v>
      </c>
      <c r="L161" s="1">
        <v>42409</v>
      </c>
      <c r="M161" s="2">
        <v>304411</v>
      </c>
      <c r="N161" s="2" t="s">
        <v>2948</v>
      </c>
      <c r="O161" t="s">
        <v>216</v>
      </c>
      <c r="P161" t="s">
        <v>205</v>
      </c>
      <c r="Q161" t="s">
        <v>79</v>
      </c>
      <c r="R161">
        <v>10.3</v>
      </c>
      <c r="S161" t="s">
        <v>2951</v>
      </c>
    </row>
    <row r="162" spans="1:19" x14ac:dyDescent="0.3">
      <c r="A162" t="s">
        <v>563</v>
      </c>
      <c r="B162" t="s">
        <v>416</v>
      </c>
      <c r="C162" t="s">
        <v>221</v>
      </c>
      <c r="D162" t="s">
        <v>24</v>
      </c>
      <c r="E162">
        <v>28</v>
      </c>
      <c r="F162" t="s">
        <v>2945</v>
      </c>
      <c r="G162" t="s">
        <v>558</v>
      </c>
      <c r="H162" t="s">
        <v>2369</v>
      </c>
      <c r="I162" t="s">
        <v>485</v>
      </c>
      <c r="J162" t="s">
        <v>559</v>
      </c>
      <c r="K162" t="s">
        <v>35</v>
      </c>
      <c r="L162" s="1">
        <v>44766</v>
      </c>
      <c r="M162" s="2">
        <v>595530</v>
      </c>
      <c r="N162" s="2" t="s">
        <v>2950</v>
      </c>
      <c r="O162" t="s">
        <v>111</v>
      </c>
      <c r="P162" t="s">
        <v>21</v>
      </c>
      <c r="Q162" t="s">
        <v>79</v>
      </c>
      <c r="R162">
        <v>3.8</v>
      </c>
      <c r="S162" t="s">
        <v>2952</v>
      </c>
    </row>
    <row r="163" spans="1:19" x14ac:dyDescent="0.3">
      <c r="A163" t="s">
        <v>565</v>
      </c>
      <c r="B163" t="s">
        <v>97</v>
      </c>
      <c r="C163" t="s">
        <v>104</v>
      </c>
      <c r="D163" t="s">
        <v>24</v>
      </c>
      <c r="E163">
        <v>23</v>
      </c>
      <c r="F163" t="s">
        <v>2945</v>
      </c>
      <c r="G163" t="s">
        <v>561</v>
      </c>
      <c r="H163" t="s">
        <v>562</v>
      </c>
      <c r="I163" t="s">
        <v>271</v>
      </c>
      <c r="J163" t="s">
        <v>40</v>
      </c>
      <c r="K163" t="s">
        <v>28</v>
      </c>
      <c r="L163" s="1">
        <v>42284</v>
      </c>
      <c r="M163" s="2">
        <v>602332</v>
      </c>
      <c r="N163" s="2" t="s">
        <v>2950</v>
      </c>
      <c r="O163" t="s">
        <v>216</v>
      </c>
      <c r="P163" t="s">
        <v>21</v>
      </c>
      <c r="Q163" t="s">
        <v>158</v>
      </c>
      <c r="R163">
        <v>10.6</v>
      </c>
      <c r="S163" t="s">
        <v>2951</v>
      </c>
    </row>
    <row r="164" spans="1:19" x14ac:dyDescent="0.3">
      <c r="A164" t="s">
        <v>567</v>
      </c>
      <c r="B164" t="s">
        <v>269</v>
      </c>
      <c r="C164" t="s">
        <v>273</v>
      </c>
      <c r="D164" t="s">
        <v>24</v>
      </c>
      <c r="E164">
        <v>53</v>
      </c>
      <c r="F164" t="s">
        <v>2947</v>
      </c>
      <c r="G164" t="s">
        <v>564</v>
      </c>
      <c r="H164" t="s">
        <v>2369</v>
      </c>
      <c r="I164" t="s">
        <v>517</v>
      </c>
      <c r="J164" t="s">
        <v>365</v>
      </c>
      <c r="K164" t="s">
        <v>48</v>
      </c>
      <c r="L164" s="1">
        <v>44335</v>
      </c>
      <c r="M164" s="2">
        <v>787814</v>
      </c>
      <c r="N164" s="2" t="s">
        <v>2950</v>
      </c>
      <c r="O164" t="s">
        <v>216</v>
      </c>
      <c r="P164" t="s">
        <v>21</v>
      </c>
      <c r="Q164" t="s">
        <v>79</v>
      </c>
      <c r="R164">
        <v>5</v>
      </c>
      <c r="S164" t="s">
        <v>2952</v>
      </c>
    </row>
    <row r="165" spans="1:19" x14ac:dyDescent="0.3">
      <c r="A165" t="s">
        <v>569</v>
      </c>
      <c r="B165" t="s">
        <v>269</v>
      </c>
      <c r="C165" t="s">
        <v>18</v>
      </c>
      <c r="D165" t="s">
        <v>24</v>
      </c>
      <c r="E165">
        <v>24</v>
      </c>
      <c r="F165" t="s">
        <v>2945</v>
      </c>
      <c r="G165" t="s">
        <v>566</v>
      </c>
      <c r="H165" t="s">
        <v>2547</v>
      </c>
      <c r="I165" t="s">
        <v>485</v>
      </c>
      <c r="J165" t="s">
        <v>559</v>
      </c>
      <c r="K165" t="s">
        <v>48</v>
      </c>
      <c r="L165" s="1">
        <v>44210</v>
      </c>
      <c r="M165" s="2">
        <v>421958</v>
      </c>
      <c r="N165" s="2" t="s">
        <v>2948</v>
      </c>
      <c r="O165" t="s">
        <v>216</v>
      </c>
      <c r="P165" t="s">
        <v>353</v>
      </c>
      <c r="Q165" t="s">
        <v>72</v>
      </c>
      <c r="R165">
        <v>5.3</v>
      </c>
      <c r="S165" t="s">
        <v>2953</v>
      </c>
    </row>
    <row r="166" spans="1:19" x14ac:dyDescent="0.3">
      <c r="A166" t="s">
        <v>571</v>
      </c>
      <c r="B166" t="s">
        <v>103</v>
      </c>
      <c r="C166" t="s">
        <v>62</v>
      </c>
      <c r="D166" t="s">
        <v>45</v>
      </c>
      <c r="E166">
        <v>55</v>
      </c>
      <c r="F166" t="s">
        <v>2947</v>
      </c>
      <c r="G166" t="s">
        <v>568</v>
      </c>
      <c r="H166" t="s">
        <v>2369</v>
      </c>
      <c r="I166" t="s">
        <v>209</v>
      </c>
      <c r="J166" t="s">
        <v>383</v>
      </c>
      <c r="K166" t="s">
        <v>35</v>
      </c>
      <c r="L166" s="1">
        <v>42280</v>
      </c>
      <c r="M166" s="2">
        <v>673943</v>
      </c>
      <c r="N166" s="2" t="s">
        <v>2950</v>
      </c>
      <c r="O166" t="s">
        <v>111</v>
      </c>
      <c r="P166" t="s">
        <v>21</v>
      </c>
      <c r="Q166" t="s">
        <v>79</v>
      </c>
      <c r="R166">
        <v>10.6</v>
      </c>
      <c r="S166" t="s">
        <v>2951</v>
      </c>
    </row>
    <row r="167" spans="1:19" x14ac:dyDescent="0.3">
      <c r="A167" t="s">
        <v>573</v>
      </c>
      <c r="B167" t="s">
        <v>67</v>
      </c>
      <c r="C167" t="s">
        <v>348</v>
      </c>
      <c r="D167" t="s">
        <v>24</v>
      </c>
      <c r="E167">
        <v>35</v>
      </c>
      <c r="F167" t="s">
        <v>2946</v>
      </c>
      <c r="G167" t="s">
        <v>570</v>
      </c>
      <c r="H167" t="s">
        <v>2548</v>
      </c>
      <c r="I167" t="s">
        <v>592</v>
      </c>
      <c r="J167" t="s">
        <v>157</v>
      </c>
      <c r="K167" t="s">
        <v>71</v>
      </c>
      <c r="L167" s="1">
        <v>42268</v>
      </c>
      <c r="M167" s="2">
        <v>744721</v>
      </c>
      <c r="N167" s="2" t="s">
        <v>2950</v>
      </c>
      <c r="O167" t="s">
        <v>41</v>
      </c>
      <c r="P167" t="s">
        <v>152</v>
      </c>
      <c r="Q167" t="s">
        <v>79</v>
      </c>
      <c r="R167">
        <v>10.6</v>
      </c>
      <c r="S167" t="s">
        <v>2951</v>
      </c>
    </row>
    <row r="168" spans="1:19" x14ac:dyDescent="0.3">
      <c r="A168" t="s">
        <v>575</v>
      </c>
      <c r="B168" t="s">
        <v>281</v>
      </c>
      <c r="C168" t="s">
        <v>287</v>
      </c>
      <c r="D168" t="s">
        <v>24</v>
      </c>
      <c r="E168">
        <v>37</v>
      </c>
      <c r="F168" t="s">
        <v>2946</v>
      </c>
      <c r="G168" t="s">
        <v>572</v>
      </c>
      <c r="H168" t="s">
        <v>2549</v>
      </c>
      <c r="I168" t="s">
        <v>271</v>
      </c>
      <c r="J168" t="s">
        <v>40</v>
      </c>
      <c r="K168" t="s">
        <v>48</v>
      </c>
      <c r="L168" s="1">
        <v>44971</v>
      </c>
      <c r="M168" s="2">
        <v>227388</v>
      </c>
      <c r="N168" s="2" t="s">
        <v>2948</v>
      </c>
      <c r="O168" t="s">
        <v>41</v>
      </c>
      <c r="P168" t="s">
        <v>353</v>
      </c>
      <c r="Q168" t="s">
        <v>158</v>
      </c>
      <c r="R168">
        <v>3.2</v>
      </c>
      <c r="S168" t="s">
        <v>2952</v>
      </c>
    </row>
    <row r="169" spans="1:19" x14ac:dyDescent="0.3">
      <c r="A169" t="s">
        <v>577</v>
      </c>
      <c r="B169" t="s">
        <v>92</v>
      </c>
      <c r="C169" t="s">
        <v>287</v>
      </c>
      <c r="D169" t="s">
        <v>24</v>
      </c>
      <c r="E169">
        <v>25</v>
      </c>
      <c r="F169" t="s">
        <v>2945</v>
      </c>
      <c r="G169" t="s">
        <v>574</v>
      </c>
      <c r="H169" t="s">
        <v>2550</v>
      </c>
      <c r="I169" t="s">
        <v>394</v>
      </c>
      <c r="J169" t="s">
        <v>106</v>
      </c>
      <c r="K169" t="s">
        <v>48</v>
      </c>
      <c r="L169" s="1">
        <v>44486</v>
      </c>
      <c r="M169" s="2">
        <v>116500</v>
      </c>
      <c r="N169" s="2" t="s">
        <v>2949</v>
      </c>
      <c r="O169" t="s">
        <v>198</v>
      </c>
      <c r="P169" t="s">
        <v>152</v>
      </c>
      <c r="Q169" t="s">
        <v>79</v>
      </c>
      <c r="R169">
        <v>4.5999999999999996</v>
      </c>
      <c r="S169" t="s">
        <v>2952</v>
      </c>
    </row>
    <row r="170" spans="1:19" x14ac:dyDescent="0.3">
      <c r="A170" t="s">
        <v>579</v>
      </c>
      <c r="B170" t="s">
        <v>74</v>
      </c>
      <c r="C170" t="s">
        <v>38</v>
      </c>
      <c r="D170" t="s">
        <v>24</v>
      </c>
      <c r="E170">
        <v>57</v>
      </c>
      <c r="F170" t="s">
        <v>2947</v>
      </c>
      <c r="G170" t="s">
        <v>576</v>
      </c>
      <c r="H170" t="s">
        <v>2369</v>
      </c>
      <c r="I170" t="s">
        <v>271</v>
      </c>
      <c r="J170" t="s">
        <v>95</v>
      </c>
      <c r="K170" t="s">
        <v>71</v>
      </c>
      <c r="L170" s="1">
        <v>44471</v>
      </c>
      <c r="M170" s="2">
        <v>844654</v>
      </c>
      <c r="N170" s="2" t="s">
        <v>2950</v>
      </c>
      <c r="O170" t="s">
        <v>111</v>
      </c>
      <c r="P170" t="s">
        <v>205</v>
      </c>
      <c r="Q170" t="s">
        <v>72</v>
      </c>
      <c r="R170">
        <v>4.5999999999999996</v>
      </c>
      <c r="S170" t="s">
        <v>2952</v>
      </c>
    </row>
    <row r="171" spans="1:19" x14ac:dyDescent="0.3">
      <c r="A171" t="s">
        <v>580</v>
      </c>
      <c r="B171" t="s">
        <v>190</v>
      </c>
      <c r="C171" t="s">
        <v>408</v>
      </c>
      <c r="D171" t="s">
        <v>45</v>
      </c>
      <c r="E171">
        <v>34</v>
      </c>
      <c r="F171" t="s">
        <v>2946</v>
      </c>
      <c r="G171" t="s">
        <v>2431</v>
      </c>
      <c r="H171" t="s">
        <v>2551</v>
      </c>
      <c r="I171" t="s">
        <v>209</v>
      </c>
      <c r="J171" t="s">
        <v>578</v>
      </c>
      <c r="K171" t="s">
        <v>28</v>
      </c>
      <c r="M171" s="2">
        <v>5648.87</v>
      </c>
      <c r="N171" s="2" t="s">
        <v>2949</v>
      </c>
      <c r="O171" t="s">
        <v>216</v>
      </c>
      <c r="P171" t="s">
        <v>152</v>
      </c>
      <c r="Q171" t="s">
        <v>244</v>
      </c>
      <c r="R171">
        <v>10.4</v>
      </c>
      <c r="S171" t="s">
        <v>2951</v>
      </c>
    </row>
    <row r="172" spans="1:19" x14ac:dyDescent="0.3">
      <c r="A172" t="s">
        <v>582</v>
      </c>
      <c r="B172" t="s">
        <v>555</v>
      </c>
      <c r="C172" t="s">
        <v>149</v>
      </c>
      <c r="D172" t="s">
        <v>24</v>
      </c>
      <c r="E172">
        <v>51</v>
      </c>
      <c r="F172" t="s">
        <v>2947</v>
      </c>
      <c r="G172" t="s">
        <v>2374</v>
      </c>
      <c r="H172" t="s">
        <v>2369</v>
      </c>
      <c r="I172" t="s">
        <v>235</v>
      </c>
      <c r="J172" t="s">
        <v>338</v>
      </c>
      <c r="K172" t="s">
        <v>71</v>
      </c>
      <c r="L172" s="1">
        <v>43022</v>
      </c>
      <c r="M172" s="2">
        <v>467593</v>
      </c>
      <c r="N172" s="2" t="s">
        <v>2948</v>
      </c>
      <c r="O172" t="s">
        <v>216</v>
      </c>
      <c r="P172" t="s">
        <v>152</v>
      </c>
      <c r="Q172" t="s">
        <v>65</v>
      </c>
      <c r="R172">
        <v>8.6</v>
      </c>
      <c r="S172" t="s">
        <v>2951</v>
      </c>
    </row>
    <row r="173" spans="1:19" x14ac:dyDescent="0.3">
      <c r="A173" t="s">
        <v>585</v>
      </c>
      <c r="B173" t="s">
        <v>412</v>
      </c>
      <c r="C173" t="s">
        <v>155</v>
      </c>
      <c r="D173" t="s">
        <v>24</v>
      </c>
      <c r="E173">
        <v>31</v>
      </c>
      <c r="F173" t="s">
        <v>2946</v>
      </c>
      <c r="G173" t="s">
        <v>2432</v>
      </c>
      <c r="H173" t="s">
        <v>581</v>
      </c>
      <c r="I173" t="s">
        <v>271</v>
      </c>
      <c r="J173" t="s">
        <v>489</v>
      </c>
      <c r="K173" t="s">
        <v>48</v>
      </c>
      <c r="L173" s="1">
        <v>44177</v>
      </c>
      <c r="M173" s="2">
        <v>533959</v>
      </c>
      <c r="N173" s="2" t="s">
        <v>2950</v>
      </c>
      <c r="O173" t="s">
        <v>130</v>
      </c>
      <c r="P173" t="s">
        <v>353</v>
      </c>
      <c r="Q173" t="s">
        <v>79</v>
      </c>
      <c r="R173">
        <v>5.4</v>
      </c>
      <c r="S173" t="s">
        <v>2953</v>
      </c>
    </row>
    <row r="174" spans="1:19" x14ac:dyDescent="0.3">
      <c r="A174" t="s">
        <v>2323</v>
      </c>
      <c r="B174" t="s">
        <v>412</v>
      </c>
      <c r="C174" t="s">
        <v>31</v>
      </c>
      <c r="D174" t="s">
        <v>45</v>
      </c>
      <c r="E174">
        <v>35</v>
      </c>
      <c r="F174" t="s">
        <v>2946</v>
      </c>
      <c r="G174" t="s">
        <v>583</v>
      </c>
      <c r="H174" t="s">
        <v>584</v>
      </c>
      <c r="I174" t="s">
        <v>271</v>
      </c>
      <c r="J174" t="s">
        <v>135</v>
      </c>
      <c r="K174" t="s">
        <v>48</v>
      </c>
      <c r="M174" s="2">
        <v>178123</v>
      </c>
      <c r="N174" s="2" t="s">
        <v>2949</v>
      </c>
      <c r="O174" t="s">
        <v>130</v>
      </c>
      <c r="P174" t="s">
        <v>21</v>
      </c>
      <c r="Q174" t="s">
        <v>79</v>
      </c>
      <c r="R174">
        <v>7.4</v>
      </c>
      <c r="S174" t="s">
        <v>2953</v>
      </c>
    </row>
    <row r="175" spans="1:19" x14ac:dyDescent="0.3">
      <c r="A175" t="s">
        <v>590</v>
      </c>
      <c r="B175" t="s">
        <v>286</v>
      </c>
      <c r="C175" t="s">
        <v>141</v>
      </c>
      <c r="D175" t="s">
        <v>45</v>
      </c>
      <c r="E175">
        <v>40</v>
      </c>
      <c r="F175" t="s">
        <v>2946</v>
      </c>
      <c r="G175" t="s">
        <v>586</v>
      </c>
      <c r="H175" t="s">
        <v>2552</v>
      </c>
      <c r="I175" t="s">
        <v>209</v>
      </c>
      <c r="J175" t="s">
        <v>578</v>
      </c>
      <c r="K175" t="s">
        <v>48</v>
      </c>
      <c r="L175" s="1">
        <v>42204</v>
      </c>
      <c r="M175" s="2">
        <v>754909</v>
      </c>
      <c r="N175" s="2" t="s">
        <v>2950</v>
      </c>
      <c r="O175" t="s">
        <v>253</v>
      </c>
      <c r="P175" t="s">
        <v>152</v>
      </c>
      <c r="Q175" t="s">
        <v>72</v>
      </c>
      <c r="R175">
        <v>10.8</v>
      </c>
      <c r="S175" t="s">
        <v>2951</v>
      </c>
    </row>
    <row r="176" spans="1:19" x14ac:dyDescent="0.3">
      <c r="A176" t="s">
        <v>594</v>
      </c>
      <c r="B176" t="s">
        <v>141</v>
      </c>
      <c r="C176" t="s">
        <v>287</v>
      </c>
      <c r="D176" t="s">
        <v>24</v>
      </c>
      <c r="E176">
        <v>27</v>
      </c>
      <c r="F176" t="s">
        <v>2945</v>
      </c>
      <c r="G176" t="s">
        <v>587</v>
      </c>
      <c r="H176" t="s">
        <v>588</v>
      </c>
      <c r="I176" t="s">
        <v>209</v>
      </c>
      <c r="J176" t="s">
        <v>589</v>
      </c>
      <c r="K176" t="s">
        <v>28</v>
      </c>
      <c r="L176" s="1">
        <v>44588</v>
      </c>
      <c r="M176" s="2">
        <v>526711</v>
      </c>
      <c r="N176" s="2" t="s">
        <v>2950</v>
      </c>
      <c r="O176" t="s">
        <v>41</v>
      </c>
      <c r="P176" t="s">
        <v>205</v>
      </c>
      <c r="Q176" t="s">
        <v>244</v>
      </c>
      <c r="R176">
        <v>4.3</v>
      </c>
      <c r="S176" t="s">
        <v>2952</v>
      </c>
    </row>
    <row r="177" spans="1:19" x14ac:dyDescent="0.3">
      <c r="A177" t="s">
        <v>597</v>
      </c>
      <c r="B177" t="s">
        <v>37</v>
      </c>
      <c r="C177" t="s">
        <v>75</v>
      </c>
      <c r="D177" t="s">
        <v>24</v>
      </c>
      <c r="E177">
        <v>41</v>
      </c>
      <c r="F177" t="s">
        <v>2946</v>
      </c>
      <c r="G177" t="s">
        <v>591</v>
      </c>
      <c r="H177" t="s">
        <v>2369</v>
      </c>
      <c r="I177" t="s">
        <v>592</v>
      </c>
      <c r="J177" t="s">
        <v>593</v>
      </c>
      <c r="K177" t="s">
        <v>28</v>
      </c>
      <c r="L177" s="1">
        <v>43709</v>
      </c>
      <c r="N177" s="2" t="s">
        <v>2369</v>
      </c>
      <c r="O177" t="s">
        <v>111</v>
      </c>
      <c r="P177" t="s">
        <v>90</v>
      </c>
      <c r="Q177" t="s">
        <v>79</v>
      </c>
      <c r="R177">
        <v>6.7</v>
      </c>
      <c r="S177" t="s">
        <v>2953</v>
      </c>
    </row>
    <row r="178" spans="1:19" x14ac:dyDescent="0.3">
      <c r="A178" t="s">
        <v>600</v>
      </c>
      <c r="B178" t="s">
        <v>190</v>
      </c>
      <c r="C178" t="s">
        <v>93</v>
      </c>
      <c r="D178" t="s">
        <v>24</v>
      </c>
      <c r="E178">
        <v>49</v>
      </c>
      <c r="F178" t="s">
        <v>2947</v>
      </c>
      <c r="G178" t="s">
        <v>595</v>
      </c>
      <c r="H178" t="s">
        <v>2369</v>
      </c>
      <c r="I178" t="s">
        <v>517</v>
      </c>
      <c r="J178" t="s">
        <v>596</v>
      </c>
      <c r="K178" t="s">
        <v>35</v>
      </c>
      <c r="L178" s="1">
        <v>44666</v>
      </c>
      <c r="M178" s="2">
        <v>333524</v>
      </c>
      <c r="N178" s="2" t="s">
        <v>2948</v>
      </c>
      <c r="O178" t="s">
        <v>198</v>
      </c>
      <c r="P178" t="s">
        <v>21</v>
      </c>
      <c r="Q178" t="s">
        <v>244</v>
      </c>
      <c r="R178">
        <v>4.0999999999999996</v>
      </c>
      <c r="S178" t="s">
        <v>2952</v>
      </c>
    </row>
    <row r="179" spans="1:19" x14ac:dyDescent="0.3">
      <c r="A179" t="s">
        <v>604</v>
      </c>
      <c r="B179" t="s">
        <v>348</v>
      </c>
      <c r="C179" t="s">
        <v>133</v>
      </c>
      <c r="D179" t="s">
        <v>24</v>
      </c>
      <c r="E179">
        <v>57</v>
      </c>
      <c r="F179" t="s">
        <v>2947</v>
      </c>
      <c r="G179" t="s">
        <v>598</v>
      </c>
      <c r="H179" t="s">
        <v>2553</v>
      </c>
      <c r="I179" t="s">
        <v>368</v>
      </c>
      <c r="J179" t="s">
        <v>599</v>
      </c>
      <c r="K179" t="s">
        <v>28</v>
      </c>
      <c r="L179" s="1">
        <v>44365</v>
      </c>
      <c r="M179" s="2">
        <v>411192</v>
      </c>
      <c r="N179" s="2" t="s">
        <v>2948</v>
      </c>
      <c r="O179" t="s">
        <v>216</v>
      </c>
      <c r="P179" t="s">
        <v>152</v>
      </c>
      <c r="Q179" t="s">
        <v>72</v>
      </c>
      <c r="R179">
        <v>4.9000000000000004</v>
      </c>
      <c r="S179" t="s">
        <v>2952</v>
      </c>
    </row>
    <row r="180" spans="1:19" x14ac:dyDescent="0.3">
      <c r="A180" t="s">
        <v>608</v>
      </c>
      <c r="B180" t="s">
        <v>416</v>
      </c>
      <c r="C180" t="s">
        <v>155</v>
      </c>
      <c r="D180" t="s">
        <v>24</v>
      </c>
      <c r="E180">
        <v>28</v>
      </c>
      <c r="F180" t="s">
        <v>2945</v>
      </c>
      <c r="G180" t="s">
        <v>601</v>
      </c>
      <c r="H180" t="s">
        <v>602</v>
      </c>
      <c r="I180" t="s">
        <v>100</v>
      </c>
      <c r="J180" t="s">
        <v>603</v>
      </c>
      <c r="K180" t="s">
        <v>48</v>
      </c>
      <c r="L180" s="1">
        <v>44486</v>
      </c>
      <c r="M180" s="2">
        <v>596094</v>
      </c>
      <c r="N180" s="2" t="s">
        <v>2950</v>
      </c>
      <c r="O180" t="s">
        <v>111</v>
      </c>
      <c r="P180" t="s">
        <v>90</v>
      </c>
      <c r="Q180" t="s">
        <v>244</v>
      </c>
      <c r="R180">
        <v>4.5999999999999996</v>
      </c>
      <c r="S180" t="s">
        <v>2952</v>
      </c>
    </row>
    <row r="181" spans="1:19" x14ac:dyDescent="0.3">
      <c r="A181" t="s">
        <v>611</v>
      </c>
      <c r="B181" t="s">
        <v>85</v>
      </c>
      <c r="C181" t="s">
        <v>23</v>
      </c>
      <c r="D181" t="s">
        <v>45</v>
      </c>
      <c r="E181">
        <v>24</v>
      </c>
      <c r="F181" t="s">
        <v>2945</v>
      </c>
      <c r="G181" t="s">
        <v>605</v>
      </c>
      <c r="H181" t="s">
        <v>606</v>
      </c>
      <c r="I181" t="s">
        <v>209</v>
      </c>
      <c r="J181" t="s">
        <v>607</v>
      </c>
      <c r="K181" t="s">
        <v>28</v>
      </c>
      <c r="L181" s="1">
        <v>42422</v>
      </c>
      <c r="M181" s="2">
        <v>669795</v>
      </c>
      <c r="N181" s="2" t="s">
        <v>2950</v>
      </c>
      <c r="O181" t="s">
        <v>111</v>
      </c>
      <c r="P181" t="s">
        <v>353</v>
      </c>
      <c r="Q181" t="s">
        <v>65</v>
      </c>
      <c r="R181">
        <v>10.199999999999999</v>
      </c>
      <c r="S181" t="s">
        <v>2951</v>
      </c>
    </row>
    <row r="182" spans="1:19" x14ac:dyDescent="0.3">
      <c r="A182" t="s">
        <v>614</v>
      </c>
      <c r="B182" t="s">
        <v>412</v>
      </c>
      <c r="C182" t="s">
        <v>237</v>
      </c>
      <c r="D182" t="s">
        <v>24</v>
      </c>
      <c r="E182">
        <v>22</v>
      </c>
      <c r="F182" t="s">
        <v>2945</v>
      </c>
      <c r="G182" t="s">
        <v>609</v>
      </c>
      <c r="H182" t="s">
        <v>610</v>
      </c>
      <c r="I182" t="s">
        <v>485</v>
      </c>
      <c r="J182" t="s">
        <v>459</v>
      </c>
      <c r="K182" t="s">
        <v>28</v>
      </c>
      <c r="L182" s="1">
        <v>42601</v>
      </c>
      <c r="M182" s="2">
        <v>887562</v>
      </c>
      <c r="N182" s="2" t="s">
        <v>2950</v>
      </c>
      <c r="O182" t="s">
        <v>111</v>
      </c>
      <c r="P182" t="s">
        <v>353</v>
      </c>
      <c r="Q182" t="s">
        <v>244</v>
      </c>
      <c r="R182">
        <v>9.6999999999999993</v>
      </c>
      <c r="S182" t="s">
        <v>2951</v>
      </c>
    </row>
    <row r="183" spans="1:19" x14ac:dyDescent="0.3">
      <c r="A183" t="s">
        <v>617</v>
      </c>
      <c r="B183" t="s">
        <v>286</v>
      </c>
      <c r="C183" t="s">
        <v>200</v>
      </c>
      <c r="D183" t="s">
        <v>45</v>
      </c>
      <c r="E183">
        <v>34</v>
      </c>
      <c r="F183" t="s">
        <v>2946</v>
      </c>
      <c r="G183" t="s">
        <v>2433</v>
      </c>
      <c r="H183" t="s">
        <v>612</v>
      </c>
      <c r="I183" t="s">
        <v>485</v>
      </c>
      <c r="J183" t="s">
        <v>613</v>
      </c>
      <c r="K183" t="s">
        <v>28</v>
      </c>
      <c r="L183" s="1">
        <v>44662</v>
      </c>
      <c r="N183" s="2" t="s">
        <v>2369</v>
      </c>
      <c r="O183" t="s">
        <v>130</v>
      </c>
      <c r="P183" t="s">
        <v>152</v>
      </c>
      <c r="Q183" t="s">
        <v>158</v>
      </c>
      <c r="R183">
        <v>4.0999999999999996</v>
      </c>
      <c r="S183" t="s">
        <v>2952</v>
      </c>
    </row>
    <row r="184" spans="1:19" x14ac:dyDescent="0.3">
      <c r="A184" t="s">
        <v>619</v>
      </c>
      <c r="B184" t="s">
        <v>137</v>
      </c>
      <c r="C184" t="s">
        <v>161</v>
      </c>
      <c r="D184" t="s">
        <v>45</v>
      </c>
      <c r="E184">
        <v>56</v>
      </c>
      <c r="F184" t="s">
        <v>2947</v>
      </c>
      <c r="G184" t="s">
        <v>615</v>
      </c>
      <c r="H184" t="s">
        <v>2554</v>
      </c>
      <c r="I184" t="s">
        <v>209</v>
      </c>
      <c r="J184" t="s">
        <v>616</v>
      </c>
      <c r="K184" t="s">
        <v>28</v>
      </c>
      <c r="L184" s="1">
        <v>44576</v>
      </c>
      <c r="M184" s="2">
        <v>777848</v>
      </c>
      <c r="N184" s="2" t="s">
        <v>2950</v>
      </c>
      <c r="O184" t="s">
        <v>41</v>
      </c>
      <c r="P184" t="s">
        <v>152</v>
      </c>
      <c r="Q184" t="s">
        <v>79</v>
      </c>
      <c r="R184">
        <v>4.3</v>
      </c>
      <c r="S184" t="s">
        <v>2952</v>
      </c>
    </row>
    <row r="185" spans="1:19" x14ac:dyDescent="0.3">
      <c r="A185" t="s">
        <v>621</v>
      </c>
      <c r="B185" t="s">
        <v>281</v>
      </c>
      <c r="C185" t="s">
        <v>475</v>
      </c>
      <c r="D185" t="s">
        <v>24</v>
      </c>
      <c r="E185">
        <v>51</v>
      </c>
      <c r="F185" t="s">
        <v>2947</v>
      </c>
      <c r="G185" t="s">
        <v>618</v>
      </c>
      <c r="H185" t="s">
        <v>2555</v>
      </c>
      <c r="I185" t="s">
        <v>100</v>
      </c>
      <c r="J185" t="s">
        <v>603</v>
      </c>
      <c r="K185" t="s">
        <v>48</v>
      </c>
      <c r="L185" s="1">
        <v>43990</v>
      </c>
      <c r="M185" s="2">
        <v>825695</v>
      </c>
      <c r="N185" s="2" t="s">
        <v>2950</v>
      </c>
      <c r="O185" t="s">
        <v>198</v>
      </c>
      <c r="P185" t="s">
        <v>90</v>
      </c>
      <c r="Q185" t="s">
        <v>244</v>
      </c>
      <c r="R185">
        <v>5.9</v>
      </c>
      <c r="S185" t="s">
        <v>2953</v>
      </c>
    </row>
    <row r="186" spans="1:19" x14ac:dyDescent="0.3">
      <c r="A186" t="s">
        <v>623</v>
      </c>
      <c r="B186" t="s">
        <v>416</v>
      </c>
      <c r="C186" t="s">
        <v>82</v>
      </c>
      <c r="D186" t="s">
        <v>24</v>
      </c>
      <c r="E186">
        <v>46</v>
      </c>
      <c r="F186" t="s">
        <v>2947</v>
      </c>
      <c r="G186" t="s">
        <v>2375</v>
      </c>
      <c r="H186" t="s">
        <v>620</v>
      </c>
      <c r="I186" t="s">
        <v>394</v>
      </c>
      <c r="J186" t="s">
        <v>231</v>
      </c>
      <c r="K186" t="s">
        <v>35</v>
      </c>
      <c r="L186" s="1">
        <v>43388</v>
      </c>
      <c r="M186" s="2">
        <v>899304</v>
      </c>
      <c r="N186" s="2" t="s">
        <v>2950</v>
      </c>
      <c r="O186" t="s">
        <v>111</v>
      </c>
      <c r="P186" t="s">
        <v>152</v>
      </c>
      <c r="Q186" t="s">
        <v>158</v>
      </c>
      <c r="R186">
        <v>7.6</v>
      </c>
      <c r="S186" t="s">
        <v>2953</v>
      </c>
    </row>
    <row r="187" spans="1:19" x14ac:dyDescent="0.3">
      <c r="A187" t="s">
        <v>625</v>
      </c>
      <c r="B187" t="s">
        <v>175</v>
      </c>
      <c r="C187" t="s">
        <v>104</v>
      </c>
      <c r="D187" t="s">
        <v>24</v>
      </c>
      <c r="E187">
        <v>37</v>
      </c>
      <c r="F187" t="s">
        <v>2946</v>
      </c>
      <c r="G187" t="s">
        <v>622</v>
      </c>
      <c r="H187" t="s">
        <v>2556</v>
      </c>
      <c r="I187" t="s">
        <v>271</v>
      </c>
      <c r="J187" t="s">
        <v>388</v>
      </c>
      <c r="K187" t="s">
        <v>71</v>
      </c>
      <c r="L187" s="1">
        <v>43131</v>
      </c>
      <c r="M187" s="2">
        <v>295802</v>
      </c>
      <c r="N187" s="2" t="s">
        <v>2948</v>
      </c>
      <c r="O187" t="s">
        <v>253</v>
      </c>
      <c r="P187" t="s">
        <v>21</v>
      </c>
      <c r="Q187" t="s">
        <v>65</v>
      </c>
      <c r="R187">
        <v>8.3000000000000007</v>
      </c>
      <c r="S187" t="s">
        <v>2951</v>
      </c>
    </row>
    <row r="188" spans="1:19" x14ac:dyDescent="0.3">
      <c r="A188" t="s">
        <v>628</v>
      </c>
      <c r="B188" t="s">
        <v>347</v>
      </c>
      <c r="C188" t="s">
        <v>264</v>
      </c>
      <c r="D188" t="s">
        <v>24</v>
      </c>
      <c r="E188">
        <v>37</v>
      </c>
      <c r="F188" t="s">
        <v>2946</v>
      </c>
      <c r="G188" t="s">
        <v>624</v>
      </c>
      <c r="H188" t="s">
        <v>2557</v>
      </c>
      <c r="I188" t="s">
        <v>235</v>
      </c>
      <c r="J188" t="s">
        <v>89</v>
      </c>
      <c r="K188" t="s">
        <v>35</v>
      </c>
      <c r="L188" s="1">
        <v>44450</v>
      </c>
      <c r="M188" s="2">
        <v>694496</v>
      </c>
      <c r="N188" s="2" t="s">
        <v>2950</v>
      </c>
      <c r="O188" t="s">
        <v>253</v>
      </c>
      <c r="P188" t="s">
        <v>205</v>
      </c>
      <c r="Q188" t="s">
        <v>244</v>
      </c>
      <c r="R188">
        <v>4.7</v>
      </c>
      <c r="S188" t="s">
        <v>2952</v>
      </c>
    </row>
    <row r="189" spans="1:19" x14ac:dyDescent="0.3">
      <c r="A189" t="s">
        <v>630</v>
      </c>
      <c r="B189" t="s">
        <v>412</v>
      </c>
      <c r="C189" t="s">
        <v>23</v>
      </c>
      <c r="D189" t="s">
        <v>24</v>
      </c>
      <c r="E189">
        <v>52</v>
      </c>
      <c r="F189" t="s">
        <v>2947</v>
      </c>
      <c r="G189" t="s">
        <v>626</v>
      </c>
      <c r="H189" t="s">
        <v>2369</v>
      </c>
      <c r="I189" t="s">
        <v>394</v>
      </c>
      <c r="J189" t="s">
        <v>627</v>
      </c>
      <c r="K189" t="s">
        <v>71</v>
      </c>
      <c r="L189" s="1">
        <v>42007</v>
      </c>
      <c r="M189" s="2">
        <v>143098</v>
      </c>
      <c r="N189" s="2" t="s">
        <v>2949</v>
      </c>
      <c r="O189" t="s">
        <v>253</v>
      </c>
      <c r="P189" t="s">
        <v>21</v>
      </c>
      <c r="Q189" t="s">
        <v>72</v>
      </c>
      <c r="R189">
        <v>11.4</v>
      </c>
      <c r="S189" t="s">
        <v>2951</v>
      </c>
    </row>
    <row r="190" spans="1:19" x14ac:dyDescent="0.3">
      <c r="A190" t="s">
        <v>633</v>
      </c>
      <c r="B190" t="s">
        <v>97</v>
      </c>
      <c r="C190" t="s">
        <v>229</v>
      </c>
      <c r="D190" t="s">
        <v>24</v>
      </c>
      <c r="E190">
        <v>33</v>
      </c>
      <c r="F190" t="s">
        <v>2946</v>
      </c>
      <c r="G190" t="s">
        <v>629</v>
      </c>
      <c r="H190" t="s">
        <v>2558</v>
      </c>
      <c r="I190" t="s">
        <v>368</v>
      </c>
      <c r="J190" t="s">
        <v>215</v>
      </c>
      <c r="K190" t="s">
        <v>71</v>
      </c>
      <c r="L190" s="1">
        <v>42044</v>
      </c>
      <c r="M190" s="2">
        <v>785383</v>
      </c>
      <c r="N190" s="2" t="s">
        <v>2950</v>
      </c>
      <c r="O190" t="s">
        <v>111</v>
      </c>
      <c r="P190" t="s">
        <v>152</v>
      </c>
      <c r="Q190" t="s">
        <v>72</v>
      </c>
      <c r="R190">
        <v>11.3</v>
      </c>
      <c r="S190" t="s">
        <v>2951</v>
      </c>
    </row>
    <row r="191" spans="1:19" x14ac:dyDescent="0.3">
      <c r="A191" t="s">
        <v>636</v>
      </c>
      <c r="B191" t="s">
        <v>92</v>
      </c>
      <c r="C191" t="s">
        <v>336</v>
      </c>
      <c r="D191" t="s">
        <v>24</v>
      </c>
      <c r="F191" t="s">
        <v>2369</v>
      </c>
      <c r="G191" t="s">
        <v>631</v>
      </c>
      <c r="H191" t="s">
        <v>632</v>
      </c>
      <c r="I191" t="s">
        <v>235</v>
      </c>
      <c r="J191" t="s">
        <v>544</v>
      </c>
      <c r="K191" t="s">
        <v>35</v>
      </c>
      <c r="L191" s="1">
        <v>44620</v>
      </c>
      <c r="M191" s="2">
        <v>495326</v>
      </c>
      <c r="N191" s="2" t="s">
        <v>2948</v>
      </c>
      <c r="O191" t="s">
        <v>111</v>
      </c>
      <c r="P191" t="s">
        <v>152</v>
      </c>
      <c r="Q191" t="s">
        <v>244</v>
      </c>
      <c r="R191">
        <v>4.2</v>
      </c>
      <c r="S191" t="s">
        <v>2952</v>
      </c>
    </row>
    <row r="192" spans="1:19" x14ac:dyDescent="0.3">
      <c r="A192" t="s">
        <v>639</v>
      </c>
      <c r="B192" t="s">
        <v>67</v>
      </c>
      <c r="C192" t="s">
        <v>237</v>
      </c>
      <c r="D192" t="s">
        <v>45</v>
      </c>
      <c r="E192">
        <v>24</v>
      </c>
      <c r="F192" t="s">
        <v>2945</v>
      </c>
      <c r="G192" t="s">
        <v>2434</v>
      </c>
      <c r="H192" t="s">
        <v>634</v>
      </c>
      <c r="I192" t="s">
        <v>517</v>
      </c>
      <c r="J192" t="s">
        <v>635</v>
      </c>
      <c r="K192" t="s">
        <v>48</v>
      </c>
      <c r="L192" s="1">
        <v>44123</v>
      </c>
      <c r="M192" s="2">
        <v>875891</v>
      </c>
      <c r="N192" s="2" t="s">
        <v>2950</v>
      </c>
      <c r="O192" t="s">
        <v>198</v>
      </c>
      <c r="P192" t="s">
        <v>90</v>
      </c>
      <c r="Q192" t="s">
        <v>72</v>
      </c>
      <c r="R192">
        <v>5.6</v>
      </c>
      <c r="S192" t="s">
        <v>2953</v>
      </c>
    </row>
    <row r="193" spans="1:19" x14ac:dyDescent="0.3">
      <c r="A193" t="s">
        <v>642</v>
      </c>
      <c r="B193" t="s">
        <v>137</v>
      </c>
      <c r="C193" t="s">
        <v>57</v>
      </c>
      <c r="D193" t="s">
        <v>45</v>
      </c>
      <c r="E193">
        <v>50</v>
      </c>
      <c r="F193" t="s">
        <v>2947</v>
      </c>
      <c r="G193" t="s">
        <v>637</v>
      </c>
      <c r="H193" t="s">
        <v>638</v>
      </c>
      <c r="I193" t="s">
        <v>209</v>
      </c>
      <c r="J193" t="s">
        <v>292</v>
      </c>
      <c r="K193" t="s">
        <v>28</v>
      </c>
      <c r="L193" s="1">
        <v>42396</v>
      </c>
      <c r="M193" s="2">
        <v>735725</v>
      </c>
      <c r="N193" s="2" t="s">
        <v>2950</v>
      </c>
      <c r="O193" t="s">
        <v>216</v>
      </c>
      <c r="P193" t="s">
        <v>205</v>
      </c>
      <c r="Q193" t="s">
        <v>244</v>
      </c>
      <c r="R193">
        <v>10.3</v>
      </c>
      <c r="S193" t="s">
        <v>2951</v>
      </c>
    </row>
    <row r="194" spans="1:19" x14ac:dyDescent="0.3">
      <c r="A194" t="s">
        <v>645</v>
      </c>
      <c r="B194" t="s">
        <v>85</v>
      </c>
      <c r="C194" t="s">
        <v>62</v>
      </c>
      <c r="D194" t="s">
        <v>24</v>
      </c>
      <c r="E194">
        <v>30</v>
      </c>
      <c r="F194" t="s">
        <v>2945</v>
      </c>
      <c r="G194" t="s">
        <v>640</v>
      </c>
      <c r="H194" t="s">
        <v>641</v>
      </c>
      <c r="I194" t="s">
        <v>368</v>
      </c>
      <c r="J194" t="s">
        <v>47</v>
      </c>
      <c r="K194" t="s">
        <v>48</v>
      </c>
      <c r="L194" s="1">
        <v>42828</v>
      </c>
      <c r="M194" s="2">
        <v>681056</v>
      </c>
      <c r="N194" s="2" t="s">
        <v>2950</v>
      </c>
      <c r="O194" t="s">
        <v>41</v>
      </c>
      <c r="P194" t="s">
        <v>90</v>
      </c>
      <c r="Q194" t="s">
        <v>244</v>
      </c>
      <c r="R194">
        <v>9.1999999999999993</v>
      </c>
      <c r="S194" t="s">
        <v>2951</v>
      </c>
    </row>
    <row r="195" spans="1:19" x14ac:dyDescent="0.3">
      <c r="A195" t="s">
        <v>648</v>
      </c>
      <c r="B195" t="s">
        <v>61</v>
      </c>
      <c r="C195" t="s">
        <v>146</v>
      </c>
      <c r="D195" t="s">
        <v>24</v>
      </c>
      <c r="E195">
        <v>58</v>
      </c>
      <c r="F195" t="s">
        <v>2947</v>
      </c>
      <c r="G195" t="s">
        <v>643</v>
      </c>
      <c r="H195" t="s">
        <v>644</v>
      </c>
      <c r="I195" t="s">
        <v>517</v>
      </c>
      <c r="J195" t="s">
        <v>440</v>
      </c>
      <c r="K195" t="s">
        <v>48</v>
      </c>
      <c r="L195" s="1">
        <v>43361</v>
      </c>
      <c r="M195" s="2">
        <v>686507</v>
      </c>
      <c r="N195" s="2" t="s">
        <v>2950</v>
      </c>
      <c r="O195" t="s">
        <v>111</v>
      </c>
      <c r="P195" t="s">
        <v>205</v>
      </c>
      <c r="Q195" t="s">
        <v>79</v>
      </c>
      <c r="R195">
        <v>7.7</v>
      </c>
      <c r="S195" t="s">
        <v>2953</v>
      </c>
    </row>
    <row r="196" spans="1:19" x14ac:dyDescent="0.3">
      <c r="A196" t="s">
        <v>651</v>
      </c>
      <c r="B196" t="s">
        <v>377</v>
      </c>
      <c r="C196" t="s">
        <v>149</v>
      </c>
      <c r="D196" t="s">
        <v>45</v>
      </c>
      <c r="E196">
        <v>33</v>
      </c>
      <c r="F196" t="s">
        <v>2946</v>
      </c>
      <c r="G196" t="s">
        <v>646</v>
      </c>
      <c r="H196" t="s">
        <v>2559</v>
      </c>
      <c r="I196" t="s">
        <v>100</v>
      </c>
      <c r="J196" t="s">
        <v>647</v>
      </c>
      <c r="K196" t="s">
        <v>28</v>
      </c>
      <c r="M196" s="2">
        <v>337912</v>
      </c>
      <c r="N196" s="2" t="s">
        <v>2948</v>
      </c>
      <c r="O196" t="s">
        <v>41</v>
      </c>
      <c r="P196" t="s">
        <v>353</v>
      </c>
      <c r="Q196" t="s">
        <v>79</v>
      </c>
      <c r="R196">
        <v>5.0999999999999996</v>
      </c>
      <c r="S196" t="s">
        <v>2953</v>
      </c>
    </row>
    <row r="197" spans="1:19" x14ac:dyDescent="0.3">
      <c r="A197" t="s">
        <v>654</v>
      </c>
      <c r="B197" t="s">
        <v>124</v>
      </c>
      <c r="C197" t="s">
        <v>141</v>
      </c>
      <c r="D197" t="s">
        <v>24</v>
      </c>
      <c r="E197">
        <v>54</v>
      </c>
      <c r="F197" t="s">
        <v>2947</v>
      </c>
      <c r="G197" t="s">
        <v>649</v>
      </c>
      <c r="H197" t="s">
        <v>650</v>
      </c>
      <c r="I197" t="s">
        <v>235</v>
      </c>
      <c r="J197" t="s">
        <v>418</v>
      </c>
      <c r="K197" t="s">
        <v>71</v>
      </c>
      <c r="L197" s="1">
        <v>43152</v>
      </c>
      <c r="M197" s="2">
        <v>212601</v>
      </c>
      <c r="N197" s="2" t="s">
        <v>2948</v>
      </c>
      <c r="O197" t="s">
        <v>111</v>
      </c>
      <c r="P197" t="s">
        <v>353</v>
      </c>
      <c r="Q197" t="s">
        <v>65</v>
      </c>
      <c r="R197">
        <v>8.1999999999999993</v>
      </c>
      <c r="S197" t="s">
        <v>2951</v>
      </c>
    </row>
    <row r="198" spans="1:19" x14ac:dyDescent="0.3">
      <c r="A198" t="s">
        <v>656</v>
      </c>
      <c r="B198" t="s">
        <v>301</v>
      </c>
      <c r="C198" t="s">
        <v>327</v>
      </c>
      <c r="D198" t="s">
        <v>24</v>
      </c>
      <c r="E198">
        <v>24</v>
      </c>
      <c r="F198" t="s">
        <v>2945</v>
      </c>
      <c r="G198" t="s">
        <v>652</v>
      </c>
      <c r="H198" t="s">
        <v>653</v>
      </c>
      <c r="I198" t="s">
        <v>394</v>
      </c>
      <c r="J198" t="s">
        <v>84</v>
      </c>
      <c r="K198" t="s">
        <v>48</v>
      </c>
      <c r="L198" s="1">
        <v>43416</v>
      </c>
      <c r="M198" s="2">
        <v>321358</v>
      </c>
      <c r="N198" s="2" t="s">
        <v>2948</v>
      </c>
      <c r="O198" t="s">
        <v>111</v>
      </c>
      <c r="P198" t="s">
        <v>205</v>
      </c>
      <c r="Q198" t="s">
        <v>72</v>
      </c>
      <c r="R198">
        <v>7.4</v>
      </c>
      <c r="S198" t="s">
        <v>2953</v>
      </c>
    </row>
    <row r="199" spans="1:19" x14ac:dyDescent="0.3">
      <c r="A199" t="s">
        <v>660</v>
      </c>
      <c r="B199" t="s">
        <v>301</v>
      </c>
      <c r="C199" t="s">
        <v>114</v>
      </c>
      <c r="D199" t="s">
        <v>24</v>
      </c>
      <c r="E199">
        <v>44</v>
      </c>
      <c r="F199" t="s">
        <v>2946</v>
      </c>
      <c r="G199" t="s">
        <v>655</v>
      </c>
      <c r="H199" t="s">
        <v>2560</v>
      </c>
      <c r="I199" t="s">
        <v>394</v>
      </c>
      <c r="J199" t="s">
        <v>519</v>
      </c>
      <c r="K199" t="s">
        <v>35</v>
      </c>
      <c r="L199" s="1">
        <v>43231</v>
      </c>
      <c r="M199" s="2">
        <v>375536</v>
      </c>
      <c r="N199" s="2" t="s">
        <v>2948</v>
      </c>
      <c r="O199" t="s">
        <v>216</v>
      </c>
      <c r="P199" t="s">
        <v>21</v>
      </c>
      <c r="Q199" t="s">
        <v>65</v>
      </c>
      <c r="R199">
        <v>8</v>
      </c>
      <c r="S199" t="s">
        <v>2953</v>
      </c>
    </row>
    <row r="200" spans="1:19" x14ac:dyDescent="0.3">
      <c r="A200" t="s">
        <v>662</v>
      </c>
      <c r="B200" t="s">
        <v>67</v>
      </c>
      <c r="C200" t="s">
        <v>249</v>
      </c>
      <c r="D200" t="s">
        <v>45</v>
      </c>
      <c r="E200">
        <v>58</v>
      </c>
      <c r="F200" t="s">
        <v>2947</v>
      </c>
      <c r="G200" t="s">
        <v>657</v>
      </c>
      <c r="H200" t="s">
        <v>658</v>
      </c>
      <c r="I200" t="s">
        <v>53</v>
      </c>
      <c r="J200" t="s">
        <v>659</v>
      </c>
      <c r="K200" t="s">
        <v>71</v>
      </c>
      <c r="L200" s="1">
        <v>44409</v>
      </c>
      <c r="M200" s="2">
        <v>104368</v>
      </c>
      <c r="N200" s="2" t="s">
        <v>2949</v>
      </c>
      <c r="O200" t="s">
        <v>130</v>
      </c>
      <c r="P200" t="s">
        <v>90</v>
      </c>
      <c r="Q200" t="s">
        <v>244</v>
      </c>
      <c r="R200">
        <v>4.8</v>
      </c>
      <c r="S200" t="s">
        <v>2952</v>
      </c>
    </row>
    <row r="201" spans="1:19" x14ac:dyDescent="0.3">
      <c r="A201" t="s">
        <v>664</v>
      </c>
      <c r="B201" t="s">
        <v>127</v>
      </c>
      <c r="C201" t="s">
        <v>120</v>
      </c>
      <c r="D201" t="s">
        <v>45</v>
      </c>
      <c r="E201">
        <v>48</v>
      </c>
      <c r="F201" t="s">
        <v>2947</v>
      </c>
      <c r="G201" t="s">
        <v>661</v>
      </c>
      <c r="H201" t="s">
        <v>2369</v>
      </c>
      <c r="I201" t="s">
        <v>592</v>
      </c>
      <c r="J201" t="s">
        <v>593</v>
      </c>
      <c r="K201" t="s">
        <v>35</v>
      </c>
      <c r="L201" s="1">
        <v>42533</v>
      </c>
      <c r="M201" s="2">
        <v>642511</v>
      </c>
      <c r="N201" s="2" t="s">
        <v>2950</v>
      </c>
      <c r="O201" t="s">
        <v>216</v>
      </c>
      <c r="P201" t="s">
        <v>90</v>
      </c>
      <c r="Q201" t="s">
        <v>72</v>
      </c>
      <c r="R201">
        <v>9.9</v>
      </c>
      <c r="S201" t="s">
        <v>2951</v>
      </c>
    </row>
    <row r="202" spans="1:19" x14ac:dyDescent="0.3">
      <c r="A202" t="s">
        <v>666</v>
      </c>
      <c r="B202" t="s">
        <v>37</v>
      </c>
      <c r="C202" t="s">
        <v>120</v>
      </c>
      <c r="D202" t="s">
        <v>24</v>
      </c>
      <c r="E202">
        <v>49</v>
      </c>
      <c r="F202" t="s">
        <v>2947</v>
      </c>
      <c r="G202" t="s">
        <v>663</v>
      </c>
      <c r="H202" t="s">
        <v>2561</v>
      </c>
      <c r="I202" t="s">
        <v>235</v>
      </c>
      <c r="J202" t="s">
        <v>338</v>
      </c>
      <c r="K202" t="s">
        <v>71</v>
      </c>
      <c r="L202" s="1">
        <v>44535</v>
      </c>
      <c r="M202" s="2">
        <v>848862</v>
      </c>
      <c r="N202" s="2" t="s">
        <v>2950</v>
      </c>
      <c r="O202" t="s">
        <v>216</v>
      </c>
      <c r="P202" t="s">
        <v>21</v>
      </c>
      <c r="Q202" t="s">
        <v>79</v>
      </c>
      <c r="R202">
        <v>4.4000000000000004</v>
      </c>
      <c r="S202" t="s">
        <v>2952</v>
      </c>
    </row>
    <row r="203" spans="1:19" x14ac:dyDescent="0.3">
      <c r="A203" t="s">
        <v>669</v>
      </c>
      <c r="B203" t="s">
        <v>44</v>
      </c>
      <c r="C203" t="s">
        <v>213</v>
      </c>
      <c r="D203" t="s">
        <v>24</v>
      </c>
      <c r="E203">
        <v>42</v>
      </c>
      <c r="F203" t="s">
        <v>2946</v>
      </c>
      <c r="G203" t="s">
        <v>665</v>
      </c>
      <c r="H203" t="s">
        <v>2562</v>
      </c>
      <c r="I203" t="s">
        <v>368</v>
      </c>
      <c r="J203" t="s">
        <v>415</v>
      </c>
      <c r="K203" t="s">
        <v>35</v>
      </c>
      <c r="L203" s="1">
        <v>44909</v>
      </c>
      <c r="M203" s="2">
        <v>223110</v>
      </c>
      <c r="N203" s="2" t="s">
        <v>2948</v>
      </c>
      <c r="O203" t="s">
        <v>130</v>
      </c>
      <c r="P203" t="s">
        <v>152</v>
      </c>
      <c r="Q203" t="s">
        <v>244</v>
      </c>
      <c r="R203">
        <v>3.4</v>
      </c>
      <c r="S203" t="s">
        <v>2952</v>
      </c>
    </row>
    <row r="204" spans="1:19" x14ac:dyDescent="0.3">
      <c r="A204" t="s">
        <v>673</v>
      </c>
      <c r="B204" t="s">
        <v>56</v>
      </c>
      <c r="C204" t="s">
        <v>277</v>
      </c>
      <c r="D204" t="s">
        <v>45</v>
      </c>
      <c r="E204">
        <v>45</v>
      </c>
      <c r="F204" t="s">
        <v>2946</v>
      </c>
      <c r="G204" t="s">
        <v>667</v>
      </c>
      <c r="H204" t="s">
        <v>668</v>
      </c>
      <c r="I204" t="s">
        <v>368</v>
      </c>
      <c r="J204" t="s">
        <v>125</v>
      </c>
      <c r="K204" t="s">
        <v>71</v>
      </c>
      <c r="L204" s="1">
        <v>42831</v>
      </c>
      <c r="M204" s="2">
        <v>341829</v>
      </c>
      <c r="N204" s="2" t="s">
        <v>2948</v>
      </c>
      <c r="O204" t="s">
        <v>111</v>
      </c>
      <c r="P204" t="s">
        <v>21</v>
      </c>
      <c r="Q204" t="s">
        <v>244</v>
      </c>
      <c r="R204">
        <v>9.1</v>
      </c>
      <c r="S204" t="s">
        <v>2951</v>
      </c>
    </row>
    <row r="205" spans="1:19" x14ac:dyDescent="0.3">
      <c r="A205" t="s">
        <v>677</v>
      </c>
      <c r="B205" t="s">
        <v>160</v>
      </c>
      <c r="C205" t="s">
        <v>120</v>
      </c>
      <c r="D205" t="s">
        <v>24</v>
      </c>
      <c r="E205">
        <v>56</v>
      </c>
      <c r="F205" t="s">
        <v>2947</v>
      </c>
      <c r="G205" t="s">
        <v>670</v>
      </c>
      <c r="H205" t="s">
        <v>671</v>
      </c>
      <c r="I205" t="s">
        <v>394</v>
      </c>
      <c r="J205" t="s">
        <v>672</v>
      </c>
      <c r="K205" t="s">
        <v>28</v>
      </c>
      <c r="L205" s="1">
        <v>44051</v>
      </c>
      <c r="N205" s="2" t="s">
        <v>2369</v>
      </c>
      <c r="O205" t="s">
        <v>111</v>
      </c>
      <c r="P205" t="s">
        <v>353</v>
      </c>
      <c r="Q205" t="s">
        <v>158</v>
      </c>
      <c r="R205">
        <v>5.8</v>
      </c>
      <c r="S205" t="s">
        <v>2953</v>
      </c>
    </row>
    <row r="206" spans="1:19" x14ac:dyDescent="0.3">
      <c r="A206" t="s">
        <v>679</v>
      </c>
      <c r="B206" t="s">
        <v>56</v>
      </c>
      <c r="C206" t="s">
        <v>50</v>
      </c>
      <c r="D206" t="s">
        <v>24</v>
      </c>
      <c r="E206">
        <v>24</v>
      </c>
      <c r="F206" t="s">
        <v>2945</v>
      </c>
      <c r="G206" t="s">
        <v>674</v>
      </c>
      <c r="H206" t="s">
        <v>675</v>
      </c>
      <c r="I206" t="s">
        <v>485</v>
      </c>
      <c r="J206" t="s">
        <v>676</v>
      </c>
      <c r="K206" t="s">
        <v>48</v>
      </c>
      <c r="L206" s="1">
        <v>43305</v>
      </c>
      <c r="M206" s="2">
        <v>754865</v>
      </c>
      <c r="N206" s="2" t="s">
        <v>2950</v>
      </c>
      <c r="O206" t="s">
        <v>130</v>
      </c>
      <c r="P206" t="s">
        <v>353</v>
      </c>
      <c r="Q206" t="s">
        <v>65</v>
      </c>
      <c r="R206">
        <v>7.8</v>
      </c>
      <c r="S206" t="s">
        <v>2953</v>
      </c>
    </row>
    <row r="207" spans="1:19" x14ac:dyDescent="0.3">
      <c r="A207" t="s">
        <v>681</v>
      </c>
      <c r="B207" t="s">
        <v>148</v>
      </c>
      <c r="C207" t="s">
        <v>176</v>
      </c>
      <c r="D207" t="s">
        <v>24</v>
      </c>
      <c r="E207">
        <v>41</v>
      </c>
      <c r="F207" t="s">
        <v>2946</v>
      </c>
      <c r="G207" t="s">
        <v>678</v>
      </c>
      <c r="H207" t="s">
        <v>2369</v>
      </c>
      <c r="I207" t="s">
        <v>235</v>
      </c>
      <c r="J207" t="s">
        <v>528</v>
      </c>
      <c r="K207" t="s">
        <v>35</v>
      </c>
      <c r="L207" s="1">
        <v>44486</v>
      </c>
      <c r="M207" s="2">
        <v>341063</v>
      </c>
      <c r="N207" s="2" t="s">
        <v>2948</v>
      </c>
      <c r="O207" t="s">
        <v>130</v>
      </c>
      <c r="P207" t="s">
        <v>90</v>
      </c>
      <c r="Q207" t="s">
        <v>79</v>
      </c>
      <c r="R207">
        <v>4.5999999999999996</v>
      </c>
      <c r="S207" t="s">
        <v>2952</v>
      </c>
    </row>
    <row r="208" spans="1:19" x14ac:dyDescent="0.3">
      <c r="A208" t="s">
        <v>683</v>
      </c>
      <c r="B208" t="s">
        <v>124</v>
      </c>
      <c r="C208" t="s">
        <v>176</v>
      </c>
      <c r="D208" t="s">
        <v>24</v>
      </c>
      <c r="F208" t="s">
        <v>2369</v>
      </c>
      <c r="G208" t="s">
        <v>680</v>
      </c>
      <c r="H208" t="s">
        <v>2369</v>
      </c>
      <c r="I208" t="s">
        <v>368</v>
      </c>
      <c r="J208" t="s">
        <v>303</v>
      </c>
      <c r="K208" t="s">
        <v>71</v>
      </c>
      <c r="L208" s="1">
        <v>44055</v>
      </c>
      <c r="M208" s="2">
        <v>845847</v>
      </c>
      <c r="N208" s="2" t="s">
        <v>2950</v>
      </c>
      <c r="O208" t="s">
        <v>198</v>
      </c>
      <c r="P208" t="s">
        <v>21</v>
      </c>
      <c r="Q208" t="s">
        <v>244</v>
      </c>
      <c r="R208">
        <v>5.8</v>
      </c>
      <c r="S208" t="s">
        <v>2953</v>
      </c>
    </row>
    <row r="209" spans="1:19" x14ac:dyDescent="0.3">
      <c r="A209" t="s">
        <v>686</v>
      </c>
      <c r="B209" t="s">
        <v>74</v>
      </c>
      <c r="C209" t="s">
        <v>68</v>
      </c>
      <c r="D209" t="s">
        <v>24</v>
      </c>
      <c r="E209">
        <v>29</v>
      </c>
      <c r="F209" t="s">
        <v>2945</v>
      </c>
      <c r="G209" t="s">
        <v>682</v>
      </c>
      <c r="H209" t="s">
        <v>2563</v>
      </c>
      <c r="I209" t="s">
        <v>209</v>
      </c>
      <c r="J209" t="s">
        <v>393</v>
      </c>
      <c r="K209" t="s">
        <v>71</v>
      </c>
      <c r="L209" s="1">
        <v>42666</v>
      </c>
      <c r="M209" s="2">
        <v>92936</v>
      </c>
      <c r="N209" s="2" t="s">
        <v>2949</v>
      </c>
      <c r="O209" t="s">
        <v>111</v>
      </c>
      <c r="P209" t="s">
        <v>205</v>
      </c>
      <c r="Q209" t="s">
        <v>72</v>
      </c>
      <c r="R209">
        <v>9.6</v>
      </c>
      <c r="S209" t="s">
        <v>2951</v>
      </c>
    </row>
    <row r="210" spans="1:19" x14ac:dyDescent="0.3">
      <c r="A210" t="s">
        <v>688</v>
      </c>
      <c r="B210" t="s">
        <v>30</v>
      </c>
      <c r="C210" t="s">
        <v>362</v>
      </c>
      <c r="D210" t="s">
        <v>45</v>
      </c>
      <c r="E210">
        <v>30</v>
      </c>
      <c r="F210" t="s">
        <v>2945</v>
      </c>
      <c r="G210" t="s">
        <v>684</v>
      </c>
      <c r="H210" t="s">
        <v>685</v>
      </c>
      <c r="I210" t="s">
        <v>592</v>
      </c>
      <c r="J210" t="s">
        <v>522</v>
      </c>
      <c r="K210" t="s">
        <v>35</v>
      </c>
      <c r="L210" s="1">
        <v>43539</v>
      </c>
      <c r="M210" s="2">
        <v>275454</v>
      </c>
      <c r="N210" s="2" t="s">
        <v>2948</v>
      </c>
      <c r="O210" t="s">
        <v>216</v>
      </c>
      <c r="P210" t="s">
        <v>353</v>
      </c>
      <c r="Q210" t="s">
        <v>158</v>
      </c>
      <c r="R210">
        <v>7.2</v>
      </c>
      <c r="S210" t="s">
        <v>2953</v>
      </c>
    </row>
    <row r="211" spans="1:19" x14ac:dyDescent="0.3">
      <c r="A211" t="s">
        <v>690</v>
      </c>
      <c r="B211" t="s">
        <v>340</v>
      </c>
      <c r="C211" t="s">
        <v>273</v>
      </c>
      <c r="D211" t="s">
        <v>24</v>
      </c>
      <c r="E211">
        <v>52</v>
      </c>
      <c r="F211" t="s">
        <v>2947</v>
      </c>
      <c r="G211" t="s">
        <v>687</v>
      </c>
      <c r="H211" t="s">
        <v>2369</v>
      </c>
      <c r="I211" t="s">
        <v>209</v>
      </c>
      <c r="K211" t="s">
        <v>35</v>
      </c>
      <c r="L211" s="1">
        <v>43093</v>
      </c>
      <c r="M211" s="2">
        <v>589530</v>
      </c>
      <c r="N211" s="2" t="s">
        <v>2950</v>
      </c>
      <c r="O211" t="s">
        <v>111</v>
      </c>
      <c r="P211" t="s">
        <v>353</v>
      </c>
      <c r="Q211" t="s">
        <v>79</v>
      </c>
      <c r="R211">
        <v>8.4</v>
      </c>
      <c r="S211" t="s">
        <v>2951</v>
      </c>
    </row>
    <row r="212" spans="1:19" x14ac:dyDescent="0.3">
      <c r="A212" t="s">
        <v>693</v>
      </c>
      <c r="B212" t="s">
        <v>187</v>
      </c>
      <c r="C212" t="s">
        <v>141</v>
      </c>
      <c r="D212" t="s">
        <v>24</v>
      </c>
      <c r="E212">
        <v>27</v>
      </c>
      <c r="F212" t="s">
        <v>2945</v>
      </c>
      <c r="G212" t="s">
        <v>689</v>
      </c>
      <c r="H212" t="s">
        <v>2564</v>
      </c>
      <c r="I212" t="s">
        <v>517</v>
      </c>
      <c r="J212" t="s">
        <v>204</v>
      </c>
      <c r="K212" t="s">
        <v>48</v>
      </c>
      <c r="L212" s="1">
        <v>44018</v>
      </c>
      <c r="M212" s="2">
        <v>4996030</v>
      </c>
      <c r="N212" s="2" t="s">
        <v>2950</v>
      </c>
      <c r="O212" t="s">
        <v>130</v>
      </c>
      <c r="P212" t="s">
        <v>353</v>
      </c>
      <c r="Q212" t="s">
        <v>158</v>
      </c>
      <c r="R212">
        <v>5.9</v>
      </c>
      <c r="S212" t="s">
        <v>2953</v>
      </c>
    </row>
    <row r="213" spans="1:19" x14ac:dyDescent="0.3">
      <c r="A213" t="s">
        <v>695</v>
      </c>
      <c r="B213" t="s">
        <v>61</v>
      </c>
      <c r="C213" t="s">
        <v>18</v>
      </c>
      <c r="D213" t="s">
        <v>24</v>
      </c>
      <c r="E213">
        <v>27</v>
      </c>
      <c r="F213" t="s">
        <v>2945</v>
      </c>
      <c r="G213" t="s">
        <v>168</v>
      </c>
      <c r="H213" t="s">
        <v>691</v>
      </c>
      <c r="I213" t="s">
        <v>100</v>
      </c>
      <c r="J213" t="s">
        <v>692</v>
      </c>
      <c r="K213" t="s">
        <v>71</v>
      </c>
      <c r="L213" s="1">
        <v>44976</v>
      </c>
      <c r="M213" s="2">
        <v>595856</v>
      </c>
      <c r="N213" s="2" t="s">
        <v>2950</v>
      </c>
      <c r="O213" t="s">
        <v>130</v>
      </c>
      <c r="P213" t="s">
        <v>152</v>
      </c>
      <c r="Q213" t="s">
        <v>79</v>
      </c>
      <c r="R213">
        <v>3.2</v>
      </c>
      <c r="S213" t="s">
        <v>2952</v>
      </c>
    </row>
    <row r="214" spans="1:19" x14ac:dyDescent="0.3">
      <c r="A214" t="s">
        <v>698</v>
      </c>
      <c r="B214" t="s">
        <v>103</v>
      </c>
      <c r="C214" t="s">
        <v>133</v>
      </c>
      <c r="D214" t="s">
        <v>24</v>
      </c>
      <c r="E214">
        <v>42</v>
      </c>
      <c r="F214" t="s">
        <v>2946</v>
      </c>
      <c r="G214" t="s">
        <v>694</v>
      </c>
      <c r="H214" t="s">
        <v>2565</v>
      </c>
      <c r="I214" t="s">
        <v>271</v>
      </c>
      <c r="J214" t="s">
        <v>388</v>
      </c>
      <c r="K214" t="s">
        <v>71</v>
      </c>
      <c r="L214" s="1">
        <v>44209</v>
      </c>
      <c r="M214" s="2">
        <v>562977</v>
      </c>
      <c r="N214" s="2" t="s">
        <v>2950</v>
      </c>
      <c r="O214" t="s">
        <v>111</v>
      </c>
      <c r="P214" t="s">
        <v>205</v>
      </c>
      <c r="Q214" t="s">
        <v>244</v>
      </c>
      <c r="R214">
        <v>5.3</v>
      </c>
      <c r="S214" t="s">
        <v>2953</v>
      </c>
    </row>
    <row r="215" spans="1:19" x14ac:dyDescent="0.3">
      <c r="A215" t="s">
        <v>701</v>
      </c>
      <c r="B215" t="s">
        <v>44</v>
      </c>
      <c r="C215" t="s">
        <v>44</v>
      </c>
      <c r="D215" t="s">
        <v>24</v>
      </c>
      <c r="E215">
        <v>47</v>
      </c>
      <c r="F215" t="s">
        <v>2947</v>
      </c>
      <c r="G215" t="s">
        <v>696</v>
      </c>
      <c r="H215" t="s">
        <v>697</v>
      </c>
      <c r="I215" t="s">
        <v>592</v>
      </c>
      <c r="J215" t="s">
        <v>34</v>
      </c>
      <c r="K215" t="s">
        <v>48</v>
      </c>
      <c r="L215" s="1">
        <v>43431</v>
      </c>
      <c r="M215" s="2">
        <v>874520</v>
      </c>
      <c r="N215" s="2" t="s">
        <v>2950</v>
      </c>
      <c r="O215" t="s">
        <v>41</v>
      </c>
      <c r="P215" t="s">
        <v>21</v>
      </c>
      <c r="Q215" t="s">
        <v>65</v>
      </c>
      <c r="R215">
        <v>7.5</v>
      </c>
      <c r="S215" t="s">
        <v>2953</v>
      </c>
    </row>
    <row r="216" spans="1:19" x14ac:dyDescent="0.3">
      <c r="A216" t="s">
        <v>703</v>
      </c>
      <c r="B216" t="s">
        <v>37</v>
      </c>
      <c r="C216" t="s">
        <v>264</v>
      </c>
      <c r="D216" t="s">
        <v>45</v>
      </c>
      <c r="E216">
        <v>47</v>
      </c>
      <c r="F216" t="s">
        <v>2947</v>
      </c>
      <c r="G216" t="s">
        <v>699</v>
      </c>
      <c r="H216" t="s">
        <v>2369</v>
      </c>
      <c r="I216" t="s">
        <v>271</v>
      </c>
      <c r="J216" t="s">
        <v>700</v>
      </c>
      <c r="K216" t="s">
        <v>71</v>
      </c>
      <c r="L216" s="1">
        <v>43781</v>
      </c>
      <c r="M216" s="2">
        <v>235785</v>
      </c>
      <c r="N216" s="2" t="s">
        <v>2948</v>
      </c>
      <c r="O216" t="s">
        <v>130</v>
      </c>
      <c r="P216" t="s">
        <v>152</v>
      </c>
      <c r="Q216" t="s">
        <v>79</v>
      </c>
      <c r="R216">
        <v>6.5</v>
      </c>
      <c r="S216" t="s">
        <v>2953</v>
      </c>
    </row>
    <row r="217" spans="1:19" x14ac:dyDescent="0.3">
      <c r="A217" t="s">
        <v>704</v>
      </c>
      <c r="B217" t="s">
        <v>310</v>
      </c>
      <c r="C217" t="s">
        <v>104</v>
      </c>
      <c r="D217" t="s">
        <v>24</v>
      </c>
      <c r="E217">
        <v>53</v>
      </c>
      <c r="F217" t="s">
        <v>2947</v>
      </c>
      <c r="G217" t="s">
        <v>702</v>
      </c>
      <c r="H217" t="s">
        <v>2369</v>
      </c>
      <c r="I217" t="s">
        <v>592</v>
      </c>
      <c r="J217" t="s">
        <v>140</v>
      </c>
      <c r="K217" t="s">
        <v>48</v>
      </c>
      <c r="L217" s="1">
        <v>44202</v>
      </c>
      <c r="M217" s="2">
        <v>635837</v>
      </c>
      <c r="N217" s="2" t="s">
        <v>2950</v>
      </c>
      <c r="O217" t="s">
        <v>198</v>
      </c>
      <c r="P217" t="s">
        <v>353</v>
      </c>
      <c r="Q217" t="s">
        <v>244</v>
      </c>
      <c r="R217">
        <v>5.4</v>
      </c>
      <c r="S217" t="s">
        <v>2953</v>
      </c>
    </row>
    <row r="218" spans="1:19" x14ac:dyDescent="0.3">
      <c r="A218" t="s">
        <v>706</v>
      </c>
      <c r="B218" t="s">
        <v>98</v>
      </c>
      <c r="C218" t="s">
        <v>336</v>
      </c>
      <c r="D218" t="s">
        <v>45</v>
      </c>
      <c r="E218">
        <v>24</v>
      </c>
      <c r="F218" t="s">
        <v>2945</v>
      </c>
      <c r="G218" t="s">
        <v>2376</v>
      </c>
      <c r="H218" t="s">
        <v>2566</v>
      </c>
      <c r="I218" t="s">
        <v>53</v>
      </c>
      <c r="J218" t="s">
        <v>390</v>
      </c>
      <c r="K218" t="s">
        <v>71</v>
      </c>
      <c r="M218" s="2">
        <v>183818</v>
      </c>
      <c r="N218" s="2" t="s">
        <v>2949</v>
      </c>
      <c r="O218" t="s">
        <v>253</v>
      </c>
      <c r="P218" t="s">
        <v>205</v>
      </c>
      <c r="Q218" t="s">
        <v>65</v>
      </c>
      <c r="R218">
        <v>3.7</v>
      </c>
      <c r="S218" t="s">
        <v>2952</v>
      </c>
    </row>
    <row r="219" spans="1:19" x14ac:dyDescent="0.3">
      <c r="A219" t="s">
        <v>709</v>
      </c>
      <c r="B219" t="s">
        <v>141</v>
      </c>
      <c r="C219" t="s">
        <v>273</v>
      </c>
      <c r="D219" t="s">
        <v>24</v>
      </c>
      <c r="E219">
        <v>56</v>
      </c>
      <c r="F219" t="s">
        <v>2947</v>
      </c>
      <c r="G219" t="s">
        <v>705</v>
      </c>
      <c r="H219" t="s">
        <v>2567</v>
      </c>
      <c r="I219" t="s">
        <v>368</v>
      </c>
      <c r="J219" t="s">
        <v>415</v>
      </c>
      <c r="K219" t="s">
        <v>71</v>
      </c>
      <c r="L219" s="1">
        <v>43111</v>
      </c>
      <c r="M219" s="2">
        <v>210674</v>
      </c>
      <c r="N219" s="2" t="s">
        <v>2948</v>
      </c>
      <c r="O219" t="s">
        <v>41</v>
      </c>
      <c r="P219" t="s">
        <v>152</v>
      </c>
      <c r="Q219" t="s">
        <v>158</v>
      </c>
      <c r="R219">
        <v>8.3000000000000007</v>
      </c>
      <c r="S219" t="s">
        <v>2951</v>
      </c>
    </row>
    <row r="220" spans="1:19" x14ac:dyDescent="0.3">
      <c r="A220" t="s">
        <v>2324</v>
      </c>
      <c r="B220" t="s">
        <v>119</v>
      </c>
      <c r="C220" t="s">
        <v>336</v>
      </c>
      <c r="D220" t="s">
        <v>45</v>
      </c>
      <c r="E220">
        <v>22</v>
      </c>
      <c r="F220" t="s">
        <v>2945</v>
      </c>
      <c r="G220" t="s">
        <v>707</v>
      </c>
      <c r="H220" t="s">
        <v>708</v>
      </c>
      <c r="I220" t="s">
        <v>592</v>
      </c>
      <c r="J220" t="s">
        <v>247</v>
      </c>
      <c r="K220" t="s">
        <v>28</v>
      </c>
      <c r="L220" s="1">
        <v>42527</v>
      </c>
      <c r="M220" s="2">
        <v>351645</v>
      </c>
      <c r="N220" s="2" t="s">
        <v>2948</v>
      </c>
      <c r="O220" t="s">
        <v>198</v>
      </c>
      <c r="P220" t="s">
        <v>353</v>
      </c>
      <c r="Q220" t="s">
        <v>158</v>
      </c>
      <c r="R220">
        <v>9.9</v>
      </c>
      <c r="S220" t="s">
        <v>2951</v>
      </c>
    </row>
    <row r="221" spans="1:19" x14ac:dyDescent="0.3">
      <c r="A221" t="s">
        <v>2325</v>
      </c>
      <c r="B221" t="s">
        <v>340</v>
      </c>
      <c r="C221" t="s">
        <v>86</v>
      </c>
      <c r="D221" t="s">
        <v>24</v>
      </c>
      <c r="E221">
        <v>54</v>
      </c>
      <c r="F221" t="s">
        <v>2947</v>
      </c>
      <c r="G221" t="s">
        <v>710</v>
      </c>
      <c r="H221" t="s">
        <v>711</v>
      </c>
      <c r="I221" t="s">
        <v>53</v>
      </c>
      <c r="J221" t="s">
        <v>712</v>
      </c>
      <c r="K221" t="s">
        <v>48</v>
      </c>
      <c r="L221" s="1">
        <v>43969</v>
      </c>
      <c r="M221" s="2">
        <v>601986</v>
      </c>
      <c r="N221" s="2" t="s">
        <v>2950</v>
      </c>
      <c r="O221" t="s">
        <v>130</v>
      </c>
      <c r="P221" t="s">
        <v>353</v>
      </c>
      <c r="Q221" t="s">
        <v>72</v>
      </c>
      <c r="R221">
        <v>6</v>
      </c>
      <c r="S221" t="s">
        <v>2953</v>
      </c>
    </row>
    <row r="222" spans="1:19" x14ac:dyDescent="0.3">
      <c r="A222" t="s">
        <v>714</v>
      </c>
      <c r="B222" t="s">
        <v>154</v>
      </c>
      <c r="C222" t="s">
        <v>18</v>
      </c>
      <c r="D222" t="s">
        <v>24</v>
      </c>
      <c r="E222">
        <v>35</v>
      </c>
      <c r="F222" t="s">
        <v>2946</v>
      </c>
      <c r="G222" t="s">
        <v>713</v>
      </c>
      <c r="H222" t="s">
        <v>2568</v>
      </c>
      <c r="I222" t="s">
        <v>394</v>
      </c>
      <c r="J222" t="s">
        <v>231</v>
      </c>
      <c r="K222" t="s">
        <v>35</v>
      </c>
      <c r="M222" s="2">
        <v>357611</v>
      </c>
      <c r="N222" s="2" t="s">
        <v>2948</v>
      </c>
      <c r="O222" t="s">
        <v>130</v>
      </c>
      <c r="P222" t="s">
        <v>21</v>
      </c>
      <c r="Q222" t="s">
        <v>72</v>
      </c>
      <c r="R222">
        <v>8.1</v>
      </c>
      <c r="S222" t="s">
        <v>2951</v>
      </c>
    </row>
    <row r="223" spans="1:19" x14ac:dyDescent="0.3">
      <c r="A223" t="s">
        <v>716</v>
      </c>
      <c r="B223" t="s">
        <v>286</v>
      </c>
      <c r="C223" t="s">
        <v>108</v>
      </c>
      <c r="D223" t="s">
        <v>45</v>
      </c>
      <c r="E223">
        <v>49</v>
      </c>
      <c r="F223" t="s">
        <v>2947</v>
      </c>
      <c r="G223" t="s">
        <v>2369</v>
      </c>
      <c r="H223" t="s">
        <v>2369</v>
      </c>
      <c r="I223" t="s">
        <v>517</v>
      </c>
      <c r="K223" t="s">
        <v>48</v>
      </c>
      <c r="L223" s="1">
        <v>43453</v>
      </c>
      <c r="M223" s="2">
        <v>8633810</v>
      </c>
      <c r="N223" s="2" t="s">
        <v>2950</v>
      </c>
      <c r="O223" t="s">
        <v>216</v>
      </c>
      <c r="P223" t="s">
        <v>152</v>
      </c>
      <c r="Q223" t="s">
        <v>158</v>
      </c>
      <c r="R223">
        <v>7.4</v>
      </c>
      <c r="S223" t="s">
        <v>2953</v>
      </c>
    </row>
    <row r="224" spans="1:19" x14ac:dyDescent="0.3">
      <c r="A224" t="s">
        <v>718</v>
      </c>
      <c r="B224" t="s">
        <v>56</v>
      </c>
      <c r="C224" t="s">
        <v>277</v>
      </c>
      <c r="D224" t="s">
        <v>45</v>
      </c>
      <c r="E224">
        <v>27</v>
      </c>
      <c r="F224" t="s">
        <v>2945</v>
      </c>
      <c r="G224" t="s">
        <v>715</v>
      </c>
      <c r="H224" t="s">
        <v>2569</v>
      </c>
      <c r="I224" t="s">
        <v>592</v>
      </c>
      <c r="J224" t="s">
        <v>550</v>
      </c>
      <c r="K224" t="s">
        <v>28</v>
      </c>
      <c r="L224" s="1">
        <v>43103</v>
      </c>
      <c r="M224" s="2">
        <v>589533</v>
      </c>
      <c r="N224" s="2" t="s">
        <v>2950</v>
      </c>
      <c r="O224" t="s">
        <v>130</v>
      </c>
      <c r="P224" t="s">
        <v>353</v>
      </c>
      <c r="Q224" t="s">
        <v>158</v>
      </c>
      <c r="R224">
        <v>8.1999999999999993</v>
      </c>
      <c r="S224" t="s">
        <v>2951</v>
      </c>
    </row>
    <row r="225" spans="1:19" x14ac:dyDescent="0.3">
      <c r="A225" t="s">
        <v>721</v>
      </c>
      <c r="B225" t="s">
        <v>175</v>
      </c>
      <c r="C225" t="s">
        <v>86</v>
      </c>
      <c r="D225" t="s">
        <v>24</v>
      </c>
      <c r="E225">
        <v>39</v>
      </c>
      <c r="F225" t="s">
        <v>2946</v>
      </c>
      <c r="G225" t="s">
        <v>717</v>
      </c>
      <c r="H225" t="s">
        <v>2570</v>
      </c>
      <c r="I225" t="s">
        <v>368</v>
      </c>
      <c r="J225" t="s">
        <v>415</v>
      </c>
      <c r="K225" t="s">
        <v>35</v>
      </c>
      <c r="L225" s="1">
        <v>43107</v>
      </c>
      <c r="M225" s="2">
        <v>461237</v>
      </c>
      <c r="N225" s="2" t="s">
        <v>2948</v>
      </c>
      <c r="O225" t="s">
        <v>111</v>
      </c>
      <c r="P225" t="s">
        <v>152</v>
      </c>
      <c r="Q225" t="s">
        <v>244</v>
      </c>
      <c r="R225">
        <v>8.4</v>
      </c>
      <c r="S225" t="s">
        <v>2951</v>
      </c>
    </row>
    <row r="226" spans="1:19" x14ac:dyDescent="0.3">
      <c r="A226" t="s">
        <v>723</v>
      </c>
      <c r="B226" t="s">
        <v>30</v>
      </c>
      <c r="C226" t="s">
        <v>176</v>
      </c>
      <c r="D226" t="s">
        <v>24</v>
      </c>
      <c r="E226">
        <v>56</v>
      </c>
      <c r="F226" t="s">
        <v>2947</v>
      </c>
      <c r="G226" t="s">
        <v>719</v>
      </c>
      <c r="H226" t="s">
        <v>720</v>
      </c>
      <c r="I226" t="s">
        <v>235</v>
      </c>
      <c r="J226" t="s">
        <v>338</v>
      </c>
      <c r="K226" t="s">
        <v>71</v>
      </c>
      <c r="L226" s="1">
        <v>42409</v>
      </c>
      <c r="M226" s="2">
        <v>158516</v>
      </c>
      <c r="N226" s="2" t="s">
        <v>2949</v>
      </c>
      <c r="O226" t="s">
        <v>130</v>
      </c>
      <c r="P226" t="s">
        <v>205</v>
      </c>
      <c r="Q226" t="s">
        <v>158</v>
      </c>
      <c r="R226">
        <v>10.3</v>
      </c>
      <c r="S226" t="s">
        <v>2951</v>
      </c>
    </row>
    <row r="227" spans="1:19" x14ac:dyDescent="0.3">
      <c r="A227" t="s">
        <v>725</v>
      </c>
      <c r="B227" t="s">
        <v>175</v>
      </c>
      <c r="C227" t="s">
        <v>57</v>
      </c>
      <c r="D227" t="s">
        <v>24</v>
      </c>
      <c r="E227">
        <v>57</v>
      </c>
      <c r="F227" t="s">
        <v>2947</v>
      </c>
      <c r="G227" t="s">
        <v>722</v>
      </c>
      <c r="H227" t="s">
        <v>2571</v>
      </c>
      <c r="I227" t="s">
        <v>100</v>
      </c>
      <c r="J227" t="s">
        <v>357</v>
      </c>
      <c r="K227" t="s">
        <v>71</v>
      </c>
      <c r="L227" s="1">
        <v>44091</v>
      </c>
      <c r="M227" s="2">
        <v>482810</v>
      </c>
      <c r="N227" s="2" t="s">
        <v>2948</v>
      </c>
      <c r="O227" t="s">
        <v>130</v>
      </c>
      <c r="P227" t="s">
        <v>353</v>
      </c>
      <c r="Q227" t="s">
        <v>65</v>
      </c>
      <c r="R227">
        <v>5.7</v>
      </c>
      <c r="S227" t="s">
        <v>2953</v>
      </c>
    </row>
    <row r="228" spans="1:19" x14ac:dyDescent="0.3">
      <c r="A228" t="s">
        <v>2326</v>
      </c>
      <c r="B228" t="s">
        <v>132</v>
      </c>
      <c r="C228" t="s">
        <v>408</v>
      </c>
      <c r="D228" t="s">
        <v>45</v>
      </c>
      <c r="E228">
        <v>40</v>
      </c>
      <c r="F228" t="s">
        <v>2946</v>
      </c>
      <c r="G228" t="s">
        <v>724</v>
      </c>
      <c r="H228" t="s">
        <v>2572</v>
      </c>
      <c r="I228" t="s">
        <v>394</v>
      </c>
      <c r="J228" t="s">
        <v>627</v>
      </c>
      <c r="K228" t="s">
        <v>71</v>
      </c>
      <c r="L228" s="1">
        <v>43677</v>
      </c>
      <c r="M228" s="2">
        <v>721185</v>
      </c>
      <c r="N228" s="2" t="s">
        <v>2950</v>
      </c>
      <c r="O228" t="s">
        <v>216</v>
      </c>
      <c r="P228" t="s">
        <v>205</v>
      </c>
      <c r="Q228" t="s">
        <v>65</v>
      </c>
      <c r="R228">
        <v>6.8</v>
      </c>
      <c r="S228" t="s">
        <v>2953</v>
      </c>
    </row>
    <row r="229" spans="1:19" x14ac:dyDescent="0.3">
      <c r="A229" t="s">
        <v>729</v>
      </c>
      <c r="B229" t="s">
        <v>224</v>
      </c>
      <c r="C229" t="s">
        <v>75</v>
      </c>
      <c r="D229" t="s">
        <v>45</v>
      </c>
      <c r="E229">
        <v>47</v>
      </c>
      <c r="F229" t="s">
        <v>2947</v>
      </c>
      <c r="G229" t="s">
        <v>2394</v>
      </c>
      <c r="H229" t="s">
        <v>726</v>
      </c>
      <c r="I229" t="s">
        <v>394</v>
      </c>
      <c r="J229" t="s">
        <v>727</v>
      </c>
      <c r="K229" t="s">
        <v>35</v>
      </c>
      <c r="M229" s="2">
        <v>266367</v>
      </c>
      <c r="N229" s="2" t="s">
        <v>2948</v>
      </c>
      <c r="O229" t="s">
        <v>130</v>
      </c>
      <c r="P229" t="s">
        <v>205</v>
      </c>
      <c r="Q229" t="s">
        <v>158</v>
      </c>
      <c r="R229">
        <v>9.5</v>
      </c>
      <c r="S229" t="s">
        <v>2951</v>
      </c>
    </row>
    <row r="230" spans="1:19" x14ac:dyDescent="0.3">
      <c r="A230" t="s">
        <v>732</v>
      </c>
      <c r="B230" t="s">
        <v>137</v>
      </c>
      <c r="C230" t="s">
        <v>264</v>
      </c>
      <c r="D230" t="s">
        <v>45</v>
      </c>
      <c r="E230">
        <v>29</v>
      </c>
      <c r="F230" t="s">
        <v>2945</v>
      </c>
      <c r="G230" t="s">
        <v>728</v>
      </c>
      <c r="H230" t="s">
        <v>2573</v>
      </c>
      <c r="I230" t="s">
        <v>53</v>
      </c>
      <c r="J230" t="s">
        <v>320</v>
      </c>
      <c r="K230" t="s">
        <v>28</v>
      </c>
      <c r="L230" s="1">
        <v>44575</v>
      </c>
      <c r="M230" s="2">
        <v>6500190</v>
      </c>
      <c r="N230" s="2" t="s">
        <v>2950</v>
      </c>
      <c r="O230" t="s">
        <v>130</v>
      </c>
      <c r="P230" t="s">
        <v>21</v>
      </c>
      <c r="Q230" t="s">
        <v>158</v>
      </c>
      <c r="R230">
        <v>4.3</v>
      </c>
      <c r="S230" t="s">
        <v>2952</v>
      </c>
    </row>
    <row r="231" spans="1:19" x14ac:dyDescent="0.3">
      <c r="A231" t="s">
        <v>734</v>
      </c>
      <c r="B231" t="s">
        <v>61</v>
      </c>
      <c r="C231" t="s">
        <v>221</v>
      </c>
      <c r="D231" t="s">
        <v>24</v>
      </c>
      <c r="E231">
        <v>28</v>
      </c>
      <c r="F231" t="s">
        <v>2945</v>
      </c>
      <c r="G231" t="s">
        <v>730</v>
      </c>
      <c r="H231" t="s">
        <v>2574</v>
      </c>
      <c r="I231" t="s">
        <v>394</v>
      </c>
      <c r="J231" t="s">
        <v>731</v>
      </c>
      <c r="K231" t="s">
        <v>35</v>
      </c>
      <c r="L231" s="1">
        <v>43180</v>
      </c>
      <c r="M231" s="2">
        <v>445308</v>
      </c>
      <c r="N231" s="2" t="s">
        <v>2948</v>
      </c>
      <c r="O231" t="s">
        <v>198</v>
      </c>
      <c r="P231" t="s">
        <v>90</v>
      </c>
      <c r="Q231" t="s">
        <v>244</v>
      </c>
      <c r="R231">
        <v>8.1999999999999993</v>
      </c>
      <c r="S231" t="s">
        <v>2951</v>
      </c>
    </row>
    <row r="232" spans="1:19" x14ac:dyDescent="0.3">
      <c r="A232" t="s">
        <v>736</v>
      </c>
      <c r="B232" t="s">
        <v>348</v>
      </c>
      <c r="C232" t="s">
        <v>114</v>
      </c>
      <c r="D232" t="s">
        <v>45</v>
      </c>
      <c r="E232">
        <v>48</v>
      </c>
      <c r="F232" t="s">
        <v>2947</v>
      </c>
      <c r="G232" t="s">
        <v>733</v>
      </c>
      <c r="H232" t="s">
        <v>2575</v>
      </c>
      <c r="I232" t="s">
        <v>53</v>
      </c>
      <c r="J232" t="s">
        <v>390</v>
      </c>
      <c r="K232" t="s">
        <v>48</v>
      </c>
      <c r="L232" s="1">
        <v>43580</v>
      </c>
      <c r="M232" s="2">
        <v>167679</v>
      </c>
      <c r="N232" s="2" t="s">
        <v>2949</v>
      </c>
      <c r="O232" t="s">
        <v>111</v>
      </c>
      <c r="P232" t="s">
        <v>353</v>
      </c>
      <c r="Q232" t="s">
        <v>65</v>
      </c>
      <c r="R232">
        <v>7.1</v>
      </c>
      <c r="S232" t="s">
        <v>2953</v>
      </c>
    </row>
    <row r="233" spans="1:19" x14ac:dyDescent="0.3">
      <c r="A233" t="s">
        <v>738</v>
      </c>
      <c r="B233" t="s">
        <v>416</v>
      </c>
      <c r="C233" t="s">
        <v>336</v>
      </c>
      <c r="D233" t="s">
        <v>45</v>
      </c>
      <c r="E233">
        <v>27</v>
      </c>
      <c r="F233" t="s">
        <v>2945</v>
      </c>
      <c r="G233" t="s">
        <v>735</v>
      </c>
      <c r="H233" t="s">
        <v>2576</v>
      </c>
      <c r="I233" t="s">
        <v>100</v>
      </c>
      <c r="J233" t="s">
        <v>603</v>
      </c>
      <c r="K233" t="s">
        <v>35</v>
      </c>
      <c r="L233" s="1">
        <v>43501</v>
      </c>
      <c r="M233" s="2">
        <v>228140</v>
      </c>
      <c r="N233" s="2" t="s">
        <v>2948</v>
      </c>
      <c r="O233" t="s">
        <v>216</v>
      </c>
      <c r="P233" t="s">
        <v>152</v>
      </c>
      <c r="Q233" t="s">
        <v>244</v>
      </c>
      <c r="R233">
        <v>7.3</v>
      </c>
      <c r="S233" t="s">
        <v>2953</v>
      </c>
    </row>
    <row r="234" spans="1:19" x14ac:dyDescent="0.3">
      <c r="A234" t="s">
        <v>740</v>
      </c>
      <c r="B234" t="s">
        <v>97</v>
      </c>
      <c r="C234" t="s">
        <v>93</v>
      </c>
      <c r="D234" t="s">
        <v>24</v>
      </c>
      <c r="F234" t="s">
        <v>2369</v>
      </c>
      <c r="G234" t="s">
        <v>737</v>
      </c>
      <c r="H234" t="s">
        <v>2577</v>
      </c>
      <c r="I234" t="s">
        <v>592</v>
      </c>
      <c r="J234" t="s">
        <v>110</v>
      </c>
      <c r="K234" t="s">
        <v>71</v>
      </c>
      <c r="L234" s="1">
        <v>42901</v>
      </c>
      <c r="M234" s="2">
        <v>491346</v>
      </c>
      <c r="N234" s="2" t="s">
        <v>2948</v>
      </c>
      <c r="O234" t="s">
        <v>41</v>
      </c>
      <c r="P234" t="s">
        <v>353</v>
      </c>
      <c r="Q234" t="s">
        <v>158</v>
      </c>
      <c r="R234">
        <v>8.9</v>
      </c>
      <c r="S234" t="s">
        <v>2951</v>
      </c>
    </row>
    <row r="235" spans="1:19" x14ac:dyDescent="0.3">
      <c r="A235" t="s">
        <v>743</v>
      </c>
      <c r="B235" t="s">
        <v>269</v>
      </c>
      <c r="C235" t="s">
        <v>277</v>
      </c>
      <c r="D235" t="s">
        <v>24</v>
      </c>
      <c r="E235">
        <v>34</v>
      </c>
      <c r="F235" t="s">
        <v>2946</v>
      </c>
      <c r="G235" t="s">
        <v>739</v>
      </c>
      <c r="H235" t="s">
        <v>2369</v>
      </c>
      <c r="I235" t="s">
        <v>485</v>
      </c>
      <c r="J235" t="s">
        <v>676</v>
      </c>
      <c r="K235" t="s">
        <v>71</v>
      </c>
      <c r="L235" s="1">
        <v>43635</v>
      </c>
      <c r="M235" s="2">
        <v>604514</v>
      </c>
      <c r="N235" s="2" t="s">
        <v>2950</v>
      </c>
      <c r="O235" t="s">
        <v>130</v>
      </c>
      <c r="P235" t="s">
        <v>152</v>
      </c>
      <c r="Q235" t="s">
        <v>244</v>
      </c>
      <c r="R235">
        <v>6.9</v>
      </c>
      <c r="S235" t="s">
        <v>2953</v>
      </c>
    </row>
    <row r="236" spans="1:19" x14ac:dyDescent="0.3">
      <c r="A236" t="s">
        <v>745</v>
      </c>
      <c r="B236" t="s">
        <v>141</v>
      </c>
      <c r="C236" t="s">
        <v>213</v>
      </c>
      <c r="D236" t="s">
        <v>24</v>
      </c>
      <c r="E236">
        <v>26</v>
      </c>
      <c r="F236" t="s">
        <v>2945</v>
      </c>
      <c r="G236" t="s">
        <v>741</v>
      </c>
      <c r="H236" t="s">
        <v>2578</v>
      </c>
      <c r="I236" t="s">
        <v>592</v>
      </c>
      <c r="J236" t="s">
        <v>742</v>
      </c>
      <c r="K236" t="s">
        <v>48</v>
      </c>
      <c r="L236" s="1">
        <v>44327</v>
      </c>
      <c r="M236" s="2">
        <v>716356</v>
      </c>
      <c r="N236" s="2" t="s">
        <v>2950</v>
      </c>
      <c r="O236" t="s">
        <v>130</v>
      </c>
      <c r="P236" t="s">
        <v>152</v>
      </c>
      <c r="Q236" t="s">
        <v>72</v>
      </c>
      <c r="R236">
        <v>4.5</v>
      </c>
      <c r="S236" t="s">
        <v>2952</v>
      </c>
    </row>
    <row r="237" spans="1:19" x14ac:dyDescent="0.3">
      <c r="A237" t="s">
        <v>748</v>
      </c>
      <c r="B237" t="s">
        <v>81</v>
      </c>
      <c r="C237" t="s">
        <v>141</v>
      </c>
      <c r="D237" t="s">
        <v>24</v>
      </c>
      <c r="E237">
        <v>50</v>
      </c>
      <c r="F237" t="s">
        <v>2947</v>
      </c>
      <c r="G237" t="s">
        <v>2435</v>
      </c>
      <c r="H237" t="s">
        <v>744</v>
      </c>
      <c r="I237" t="s">
        <v>485</v>
      </c>
      <c r="J237" t="s">
        <v>185</v>
      </c>
      <c r="K237" t="s">
        <v>71</v>
      </c>
      <c r="L237" s="1">
        <v>43697</v>
      </c>
      <c r="M237" s="2">
        <v>610519</v>
      </c>
      <c r="N237" s="2" t="s">
        <v>2950</v>
      </c>
      <c r="O237" t="s">
        <v>198</v>
      </c>
      <c r="P237" t="s">
        <v>21</v>
      </c>
      <c r="Q237" t="s">
        <v>72</v>
      </c>
      <c r="R237">
        <v>6.7</v>
      </c>
      <c r="S237" t="s">
        <v>2953</v>
      </c>
    </row>
    <row r="238" spans="1:19" x14ac:dyDescent="0.3">
      <c r="A238" t="s">
        <v>749</v>
      </c>
      <c r="B238" t="s">
        <v>416</v>
      </c>
      <c r="C238" t="s">
        <v>183</v>
      </c>
      <c r="D238" t="s">
        <v>24</v>
      </c>
      <c r="E238">
        <v>46</v>
      </c>
      <c r="F238" t="s">
        <v>2947</v>
      </c>
      <c r="G238" t="s">
        <v>746</v>
      </c>
      <c r="H238" t="s">
        <v>2579</v>
      </c>
      <c r="I238" t="s">
        <v>235</v>
      </c>
      <c r="J238" t="s">
        <v>747</v>
      </c>
      <c r="K238" t="s">
        <v>71</v>
      </c>
      <c r="L238" s="1">
        <v>42133</v>
      </c>
      <c r="M238" s="2">
        <v>710275</v>
      </c>
      <c r="N238" s="2" t="s">
        <v>2950</v>
      </c>
      <c r="O238" t="s">
        <v>111</v>
      </c>
      <c r="P238" t="s">
        <v>21</v>
      </c>
      <c r="Q238" t="s">
        <v>79</v>
      </c>
      <c r="R238">
        <v>11</v>
      </c>
      <c r="S238" t="s">
        <v>2951</v>
      </c>
    </row>
    <row r="239" spans="1:19" x14ac:dyDescent="0.3">
      <c r="A239" t="s">
        <v>752</v>
      </c>
      <c r="B239" t="s">
        <v>340</v>
      </c>
      <c r="C239" t="s">
        <v>408</v>
      </c>
      <c r="D239" t="s">
        <v>24</v>
      </c>
      <c r="E239">
        <v>31</v>
      </c>
      <c r="F239" t="s">
        <v>2946</v>
      </c>
      <c r="G239" t="s">
        <v>2436</v>
      </c>
      <c r="H239" t="s">
        <v>2369</v>
      </c>
      <c r="I239" t="s">
        <v>209</v>
      </c>
      <c r="J239" t="s">
        <v>166</v>
      </c>
      <c r="K239" t="s">
        <v>28</v>
      </c>
      <c r="L239" s="1">
        <v>44965</v>
      </c>
      <c r="M239" s="2">
        <v>780409</v>
      </c>
      <c r="N239" s="2" t="s">
        <v>2950</v>
      </c>
      <c r="O239" t="s">
        <v>111</v>
      </c>
      <c r="P239" t="s">
        <v>21</v>
      </c>
      <c r="Q239" t="s">
        <v>244</v>
      </c>
      <c r="R239">
        <v>3.3</v>
      </c>
      <c r="S239" t="s">
        <v>2952</v>
      </c>
    </row>
    <row r="240" spans="1:19" x14ac:dyDescent="0.3">
      <c r="A240" t="s">
        <v>754</v>
      </c>
      <c r="B240" t="s">
        <v>310</v>
      </c>
      <c r="C240" t="s">
        <v>31</v>
      </c>
      <c r="D240" t="s">
        <v>24</v>
      </c>
      <c r="E240">
        <v>56</v>
      </c>
      <c r="F240" t="s">
        <v>2947</v>
      </c>
      <c r="G240" t="s">
        <v>2369</v>
      </c>
      <c r="H240" t="s">
        <v>750</v>
      </c>
      <c r="I240" t="s">
        <v>517</v>
      </c>
      <c r="J240" t="s">
        <v>751</v>
      </c>
      <c r="K240" t="s">
        <v>28</v>
      </c>
      <c r="L240" s="1">
        <v>43445</v>
      </c>
      <c r="M240" s="2">
        <v>4493200</v>
      </c>
      <c r="N240" s="2" t="s">
        <v>2950</v>
      </c>
      <c r="O240" t="s">
        <v>130</v>
      </c>
      <c r="P240" t="s">
        <v>152</v>
      </c>
      <c r="Q240" t="s">
        <v>244</v>
      </c>
      <c r="R240">
        <v>7.4</v>
      </c>
      <c r="S240" t="s">
        <v>2953</v>
      </c>
    </row>
    <row r="241" spans="1:19" x14ac:dyDescent="0.3">
      <c r="A241" t="s">
        <v>755</v>
      </c>
      <c r="B241" t="s">
        <v>160</v>
      </c>
      <c r="C241" t="s">
        <v>133</v>
      </c>
      <c r="D241" t="s">
        <v>24</v>
      </c>
      <c r="E241">
        <v>52</v>
      </c>
      <c r="F241" t="s">
        <v>2947</v>
      </c>
      <c r="G241" t="s">
        <v>753</v>
      </c>
      <c r="H241" t="s">
        <v>2369</v>
      </c>
      <c r="I241" t="s">
        <v>517</v>
      </c>
      <c r="J241" t="s">
        <v>751</v>
      </c>
      <c r="K241" t="s">
        <v>28</v>
      </c>
      <c r="L241" s="1">
        <v>42473</v>
      </c>
      <c r="M241" s="2">
        <v>285059</v>
      </c>
      <c r="N241" s="2" t="s">
        <v>2948</v>
      </c>
      <c r="O241" t="s">
        <v>253</v>
      </c>
      <c r="P241" t="s">
        <v>152</v>
      </c>
      <c r="Q241" t="s">
        <v>79</v>
      </c>
      <c r="R241">
        <v>10.1</v>
      </c>
      <c r="S241" t="s">
        <v>2951</v>
      </c>
    </row>
    <row r="242" spans="1:19" x14ac:dyDescent="0.3">
      <c r="A242" t="s">
        <v>756</v>
      </c>
      <c r="B242" t="s">
        <v>141</v>
      </c>
      <c r="C242" t="s">
        <v>155</v>
      </c>
      <c r="D242" t="s">
        <v>45</v>
      </c>
      <c r="E242">
        <v>55</v>
      </c>
      <c r="F242" t="s">
        <v>2947</v>
      </c>
      <c r="G242" t="s">
        <v>2395</v>
      </c>
      <c r="H242" t="s">
        <v>2580</v>
      </c>
      <c r="I242" t="s">
        <v>592</v>
      </c>
      <c r="J242" t="s">
        <v>522</v>
      </c>
      <c r="K242" t="s">
        <v>28</v>
      </c>
      <c r="L242" s="1">
        <v>43656</v>
      </c>
      <c r="M242" s="2">
        <v>413578</v>
      </c>
      <c r="N242" s="2" t="s">
        <v>2948</v>
      </c>
      <c r="O242" t="s">
        <v>253</v>
      </c>
      <c r="P242" t="s">
        <v>21</v>
      </c>
      <c r="Q242" t="s">
        <v>65</v>
      </c>
      <c r="R242">
        <v>6.8</v>
      </c>
      <c r="S242" t="s">
        <v>2953</v>
      </c>
    </row>
    <row r="243" spans="1:19" x14ac:dyDescent="0.3">
      <c r="A243" t="s">
        <v>758</v>
      </c>
      <c r="B243" t="s">
        <v>359</v>
      </c>
      <c r="C243" t="s">
        <v>318</v>
      </c>
      <c r="D243" t="s">
        <v>24</v>
      </c>
      <c r="E243">
        <v>28</v>
      </c>
      <c r="F243" t="s">
        <v>2945</v>
      </c>
      <c r="G243" t="s">
        <v>2369</v>
      </c>
      <c r="H243" t="s">
        <v>2581</v>
      </c>
      <c r="I243" t="s">
        <v>271</v>
      </c>
      <c r="J243" t="s">
        <v>524</v>
      </c>
      <c r="K243" t="s">
        <v>71</v>
      </c>
      <c r="L243" s="1">
        <v>42099</v>
      </c>
      <c r="M243" s="2">
        <v>749396</v>
      </c>
      <c r="N243" s="2" t="s">
        <v>2950</v>
      </c>
      <c r="O243" t="s">
        <v>130</v>
      </c>
      <c r="P243" t="s">
        <v>353</v>
      </c>
      <c r="Q243" t="s">
        <v>158</v>
      </c>
      <c r="R243">
        <v>11.1</v>
      </c>
      <c r="S243" t="s">
        <v>2951</v>
      </c>
    </row>
    <row r="244" spans="1:19" x14ac:dyDescent="0.3">
      <c r="A244" t="s">
        <v>760</v>
      </c>
      <c r="B244" t="s">
        <v>113</v>
      </c>
      <c r="C244" t="s">
        <v>149</v>
      </c>
      <c r="D244" t="s">
        <v>45</v>
      </c>
      <c r="E244">
        <v>23</v>
      </c>
      <c r="F244" t="s">
        <v>2945</v>
      </c>
      <c r="G244" t="s">
        <v>757</v>
      </c>
      <c r="H244" t="s">
        <v>2582</v>
      </c>
      <c r="I244" t="s">
        <v>271</v>
      </c>
      <c r="J244" t="s">
        <v>700</v>
      </c>
      <c r="K244" t="s">
        <v>71</v>
      </c>
      <c r="L244" s="1">
        <v>42126</v>
      </c>
      <c r="M244" s="2">
        <v>641988</v>
      </c>
      <c r="N244" s="2" t="s">
        <v>2950</v>
      </c>
      <c r="O244" t="s">
        <v>253</v>
      </c>
      <c r="P244" t="s">
        <v>353</v>
      </c>
      <c r="Q244" t="s">
        <v>244</v>
      </c>
      <c r="R244">
        <v>11</v>
      </c>
      <c r="S244" t="s">
        <v>2951</v>
      </c>
    </row>
    <row r="245" spans="1:19" x14ac:dyDescent="0.3">
      <c r="A245" t="s">
        <v>762</v>
      </c>
      <c r="B245" t="s">
        <v>127</v>
      </c>
      <c r="C245" t="s">
        <v>23</v>
      </c>
      <c r="D245" t="s">
        <v>24</v>
      </c>
      <c r="E245">
        <v>44</v>
      </c>
      <c r="F245" t="s">
        <v>2946</v>
      </c>
      <c r="G245" t="s">
        <v>759</v>
      </c>
      <c r="H245" t="s">
        <v>2583</v>
      </c>
      <c r="I245" t="s">
        <v>271</v>
      </c>
      <c r="J245" t="s">
        <v>95</v>
      </c>
      <c r="K245" t="s">
        <v>48</v>
      </c>
      <c r="L245" s="1">
        <v>42823</v>
      </c>
      <c r="M245" s="2">
        <v>674691</v>
      </c>
      <c r="N245" s="2" t="s">
        <v>2950</v>
      </c>
      <c r="O245" t="s">
        <v>111</v>
      </c>
      <c r="P245" t="s">
        <v>205</v>
      </c>
      <c r="Q245" t="s">
        <v>72</v>
      </c>
      <c r="R245">
        <v>9.1</v>
      </c>
      <c r="S245" t="s">
        <v>2951</v>
      </c>
    </row>
    <row r="246" spans="1:19" x14ac:dyDescent="0.3">
      <c r="A246" t="s">
        <v>766</v>
      </c>
      <c r="B246" t="s">
        <v>233</v>
      </c>
      <c r="C246" t="s">
        <v>93</v>
      </c>
      <c r="D246" t="s">
        <v>24</v>
      </c>
      <c r="E246">
        <v>26</v>
      </c>
      <c r="F246" t="s">
        <v>2945</v>
      </c>
      <c r="G246" t="s">
        <v>761</v>
      </c>
      <c r="H246" t="s">
        <v>2584</v>
      </c>
      <c r="I246" t="s">
        <v>271</v>
      </c>
      <c r="J246" t="s">
        <v>489</v>
      </c>
      <c r="K246" t="s">
        <v>28</v>
      </c>
      <c r="L246" s="1">
        <v>44494</v>
      </c>
      <c r="M246" s="2">
        <v>783956</v>
      </c>
      <c r="N246" s="2" t="s">
        <v>2950</v>
      </c>
      <c r="O246" t="s">
        <v>130</v>
      </c>
      <c r="P246" t="s">
        <v>353</v>
      </c>
      <c r="Q246" t="s">
        <v>244</v>
      </c>
      <c r="R246">
        <v>4.5999999999999996</v>
      </c>
      <c r="S246" t="s">
        <v>2952</v>
      </c>
    </row>
    <row r="247" spans="1:19" x14ac:dyDescent="0.3">
      <c r="A247" t="s">
        <v>768</v>
      </c>
      <c r="B247" t="s">
        <v>127</v>
      </c>
      <c r="C247" t="s">
        <v>516</v>
      </c>
      <c r="D247" t="s">
        <v>24</v>
      </c>
      <c r="E247">
        <v>25</v>
      </c>
      <c r="F247" t="s">
        <v>2945</v>
      </c>
      <c r="G247" t="s">
        <v>763</v>
      </c>
      <c r="H247" t="s">
        <v>764</v>
      </c>
      <c r="I247" t="s">
        <v>592</v>
      </c>
      <c r="J247" t="s">
        <v>765</v>
      </c>
      <c r="K247" t="s">
        <v>48</v>
      </c>
      <c r="L247" s="1">
        <v>43258</v>
      </c>
      <c r="M247" s="2">
        <v>597806</v>
      </c>
      <c r="N247" s="2" t="s">
        <v>2950</v>
      </c>
      <c r="O247" t="s">
        <v>130</v>
      </c>
      <c r="P247" t="s">
        <v>353</v>
      </c>
      <c r="Q247" t="s">
        <v>72</v>
      </c>
      <c r="R247">
        <v>7.9</v>
      </c>
      <c r="S247" t="s">
        <v>2953</v>
      </c>
    </row>
    <row r="248" spans="1:19" x14ac:dyDescent="0.3">
      <c r="A248" t="s">
        <v>771</v>
      </c>
      <c r="B248" t="s">
        <v>347</v>
      </c>
      <c r="C248" t="s">
        <v>155</v>
      </c>
      <c r="D248" t="s">
        <v>24</v>
      </c>
      <c r="E248">
        <v>50</v>
      </c>
      <c r="F248" t="s">
        <v>2947</v>
      </c>
      <c r="G248" t="s">
        <v>767</v>
      </c>
      <c r="H248" t="s">
        <v>2369</v>
      </c>
      <c r="I248" t="s">
        <v>485</v>
      </c>
      <c r="J248" t="s">
        <v>486</v>
      </c>
      <c r="K248" t="s">
        <v>28</v>
      </c>
      <c r="L248" s="1">
        <v>44397</v>
      </c>
      <c r="M248" s="2">
        <v>513370</v>
      </c>
      <c r="N248" s="2" t="s">
        <v>2950</v>
      </c>
      <c r="O248" t="s">
        <v>216</v>
      </c>
      <c r="P248" t="s">
        <v>353</v>
      </c>
      <c r="Q248" t="s">
        <v>65</v>
      </c>
      <c r="R248">
        <v>4.8</v>
      </c>
      <c r="S248" t="s">
        <v>2952</v>
      </c>
    </row>
    <row r="249" spans="1:19" x14ac:dyDescent="0.3">
      <c r="A249" t="s">
        <v>775</v>
      </c>
      <c r="B249" t="s">
        <v>175</v>
      </c>
      <c r="C249" t="s">
        <v>62</v>
      </c>
      <c r="D249" t="s">
        <v>24</v>
      </c>
      <c r="E249">
        <v>50</v>
      </c>
      <c r="F249" t="s">
        <v>2947</v>
      </c>
      <c r="G249" t="s">
        <v>769</v>
      </c>
      <c r="H249" t="s">
        <v>770</v>
      </c>
      <c r="I249" t="s">
        <v>100</v>
      </c>
      <c r="J249" t="s">
        <v>473</v>
      </c>
      <c r="K249" t="s">
        <v>71</v>
      </c>
      <c r="L249" s="1">
        <v>43494</v>
      </c>
      <c r="M249" s="2">
        <v>484305</v>
      </c>
      <c r="N249" s="2" t="s">
        <v>2948</v>
      </c>
      <c r="O249" t="s">
        <v>198</v>
      </c>
      <c r="P249" t="s">
        <v>21</v>
      </c>
      <c r="Q249" t="s">
        <v>244</v>
      </c>
      <c r="R249">
        <v>7.3</v>
      </c>
      <c r="S249" t="s">
        <v>2953</v>
      </c>
    </row>
    <row r="250" spans="1:19" x14ac:dyDescent="0.3">
      <c r="A250" t="s">
        <v>777</v>
      </c>
      <c r="B250" t="s">
        <v>555</v>
      </c>
      <c r="C250" t="s">
        <v>176</v>
      </c>
      <c r="D250" t="s">
        <v>45</v>
      </c>
      <c r="E250">
        <v>53</v>
      </c>
      <c r="F250" t="s">
        <v>2947</v>
      </c>
      <c r="G250" t="s">
        <v>772</v>
      </c>
      <c r="H250" t="s">
        <v>2585</v>
      </c>
      <c r="I250" t="s">
        <v>592</v>
      </c>
      <c r="J250" t="s">
        <v>247</v>
      </c>
      <c r="K250" t="s">
        <v>71</v>
      </c>
      <c r="L250" s="1">
        <v>43135</v>
      </c>
      <c r="M250" s="2">
        <v>635286</v>
      </c>
      <c r="N250" s="2" t="s">
        <v>2950</v>
      </c>
      <c r="O250" t="s">
        <v>253</v>
      </c>
      <c r="P250" t="s">
        <v>21</v>
      </c>
      <c r="Q250" t="s">
        <v>158</v>
      </c>
      <c r="R250">
        <v>8.3000000000000007</v>
      </c>
      <c r="S250" t="s">
        <v>2951</v>
      </c>
    </row>
    <row r="251" spans="1:19" x14ac:dyDescent="0.3">
      <c r="A251" t="s">
        <v>780</v>
      </c>
      <c r="B251" t="s">
        <v>297</v>
      </c>
      <c r="C251" t="s">
        <v>161</v>
      </c>
      <c r="D251" t="s">
        <v>45</v>
      </c>
      <c r="E251">
        <v>27</v>
      </c>
      <c r="F251" t="s">
        <v>2945</v>
      </c>
      <c r="G251" t="s">
        <v>2369</v>
      </c>
      <c r="H251" t="s">
        <v>774</v>
      </c>
      <c r="I251" t="s">
        <v>592</v>
      </c>
      <c r="J251" t="s">
        <v>290</v>
      </c>
      <c r="K251" t="s">
        <v>71</v>
      </c>
      <c r="L251" s="1">
        <v>43491</v>
      </c>
      <c r="M251" s="2">
        <v>897236</v>
      </c>
      <c r="N251" s="2" t="s">
        <v>2950</v>
      </c>
      <c r="O251" t="s">
        <v>130</v>
      </c>
      <c r="P251" t="s">
        <v>152</v>
      </c>
      <c r="Q251" t="s">
        <v>65</v>
      </c>
      <c r="R251">
        <v>7.3</v>
      </c>
      <c r="S251" t="s">
        <v>2953</v>
      </c>
    </row>
    <row r="252" spans="1:19" x14ac:dyDescent="0.3">
      <c r="A252" t="s">
        <v>783</v>
      </c>
      <c r="B252" t="s">
        <v>148</v>
      </c>
      <c r="C252" t="s">
        <v>141</v>
      </c>
      <c r="D252" t="s">
        <v>24</v>
      </c>
      <c r="E252">
        <v>31</v>
      </c>
      <c r="F252" t="s">
        <v>2946</v>
      </c>
      <c r="G252" t="s">
        <v>776</v>
      </c>
      <c r="H252" t="s">
        <v>2586</v>
      </c>
      <c r="I252" t="s">
        <v>271</v>
      </c>
      <c r="J252" t="s">
        <v>143</v>
      </c>
      <c r="K252" t="s">
        <v>71</v>
      </c>
      <c r="L252" s="1">
        <v>43365</v>
      </c>
      <c r="M252" s="2">
        <v>557328</v>
      </c>
      <c r="N252" s="2" t="s">
        <v>2950</v>
      </c>
      <c r="O252" t="s">
        <v>130</v>
      </c>
      <c r="P252" t="s">
        <v>205</v>
      </c>
      <c r="Q252" t="s">
        <v>79</v>
      </c>
      <c r="R252">
        <v>7.6</v>
      </c>
      <c r="S252" t="s">
        <v>2953</v>
      </c>
    </row>
    <row r="253" spans="1:19" x14ac:dyDescent="0.3">
      <c r="A253" t="s">
        <v>786</v>
      </c>
      <c r="B253" t="s">
        <v>269</v>
      </c>
      <c r="C253" t="s">
        <v>44</v>
      </c>
      <c r="D253" t="s">
        <v>24</v>
      </c>
      <c r="E253">
        <v>29</v>
      </c>
      <c r="F253" t="s">
        <v>2945</v>
      </c>
      <c r="G253" t="s">
        <v>778</v>
      </c>
      <c r="H253" t="s">
        <v>2587</v>
      </c>
      <c r="I253" t="s">
        <v>53</v>
      </c>
      <c r="J253" t="s">
        <v>779</v>
      </c>
      <c r="K253" t="s">
        <v>71</v>
      </c>
      <c r="L253" s="1">
        <v>44445</v>
      </c>
      <c r="M253" s="2">
        <v>587882</v>
      </c>
      <c r="N253" s="2" t="s">
        <v>2950</v>
      </c>
      <c r="O253" t="s">
        <v>130</v>
      </c>
      <c r="P253" t="s">
        <v>90</v>
      </c>
      <c r="Q253" t="s">
        <v>72</v>
      </c>
      <c r="R253">
        <v>4.7</v>
      </c>
      <c r="S253" t="s">
        <v>2952</v>
      </c>
    </row>
    <row r="254" spans="1:19" x14ac:dyDescent="0.3">
      <c r="A254" t="s">
        <v>788</v>
      </c>
      <c r="B254" t="s">
        <v>81</v>
      </c>
      <c r="C254" t="s">
        <v>18</v>
      </c>
      <c r="D254" t="s">
        <v>45</v>
      </c>
      <c r="E254">
        <v>40</v>
      </c>
      <c r="F254" t="s">
        <v>2946</v>
      </c>
      <c r="G254" t="s">
        <v>781</v>
      </c>
      <c r="H254" t="s">
        <v>782</v>
      </c>
      <c r="I254" t="s">
        <v>592</v>
      </c>
      <c r="J254" t="s">
        <v>34</v>
      </c>
      <c r="K254" t="s">
        <v>28</v>
      </c>
      <c r="L254" s="1">
        <v>44326</v>
      </c>
      <c r="M254" s="2">
        <v>443853</v>
      </c>
      <c r="N254" s="2" t="s">
        <v>2948</v>
      </c>
      <c r="O254" t="s">
        <v>130</v>
      </c>
      <c r="P254" t="s">
        <v>353</v>
      </c>
      <c r="Q254" t="s">
        <v>244</v>
      </c>
      <c r="R254">
        <v>5</v>
      </c>
      <c r="S254" t="s">
        <v>2952</v>
      </c>
    </row>
    <row r="255" spans="1:19" x14ac:dyDescent="0.3">
      <c r="A255" t="s">
        <v>791</v>
      </c>
      <c r="B255" t="s">
        <v>141</v>
      </c>
      <c r="C255" t="s">
        <v>161</v>
      </c>
      <c r="D255" t="s">
        <v>24</v>
      </c>
      <c r="E255">
        <v>44</v>
      </c>
      <c r="F255" t="s">
        <v>2946</v>
      </c>
      <c r="G255" t="s">
        <v>784</v>
      </c>
      <c r="H255" t="s">
        <v>2588</v>
      </c>
      <c r="I255" t="s">
        <v>271</v>
      </c>
      <c r="J255" t="s">
        <v>785</v>
      </c>
      <c r="K255" t="s">
        <v>28</v>
      </c>
      <c r="L255" s="1">
        <v>42136</v>
      </c>
      <c r="M255" s="2">
        <v>576162</v>
      </c>
      <c r="N255" s="2" t="s">
        <v>2950</v>
      </c>
      <c r="O255" t="s">
        <v>130</v>
      </c>
      <c r="P255" t="s">
        <v>90</v>
      </c>
      <c r="Q255" t="s">
        <v>158</v>
      </c>
      <c r="R255">
        <v>11</v>
      </c>
      <c r="S255" t="s">
        <v>2951</v>
      </c>
    </row>
    <row r="256" spans="1:19" x14ac:dyDescent="0.3">
      <c r="A256" t="s">
        <v>793</v>
      </c>
      <c r="B256" t="s">
        <v>412</v>
      </c>
      <c r="C256" t="s">
        <v>120</v>
      </c>
      <c r="D256" t="s">
        <v>45</v>
      </c>
      <c r="E256">
        <v>48</v>
      </c>
      <c r="F256" t="s">
        <v>2947</v>
      </c>
      <c r="G256" t="s">
        <v>787</v>
      </c>
      <c r="H256" t="s">
        <v>2369</v>
      </c>
      <c r="I256" t="s">
        <v>592</v>
      </c>
      <c r="J256" t="s">
        <v>110</v>
      </c>
      <c r="K256" t="s">
        <v>48</v>
      </c>
      <c r="L256" s="1">
        <v>44294</v>
      </c>
      <c r="M256" s="2">
        <v>107705</v>
      </c>
      <c r="N256" s="2" t="s">
        <v>2949</v>
      </c>
      <c r="O256" t="s">
        <v>111</v>
      </c>
      <c r="P256" t="s">
        <v>205</v>
      </c>
      <c r="Q256" t="s">
        <v>72</v>
      </c>
      <c r="R256">
        <v>5.0999999999999996</v>
      </c>
      <c r="S256" t="s">
        <v>2953</v>
      </c>
    </row>
    <row r="257" spans="1:19" x14ac:dyDescent="0.3">
      <c r="A257" t="s">
        <v>795</v>
      </c>
      <c r="B257" t="s">
        <v>124</v>
      </c>
      <c r="C257" t="s">
        <v>408</v>
      </c>
      <c r="D257" t="s">
        <v>24</v>
      </c>
      <c r="E257">
        <v>31</v>
      </c>
      <c r="F257" t="s">
        <v>2946</v>
      </c>
      <c r="G257" t="s">
        <v>789</v>
      </c>
      <c r="H257" t="s">
        <v>2589</v>
      </c>
      <c r="I257" t="s">
        <v>517</v>
      </c>
      <c r="J257" t="s">
        <v>790</v>
      </c>
      <c r="K257" t="s">
        <v>35</v>
      </c>
      <c r="M257" s="2">
        <v>750740</v>
      </c>
      <c r="N257" s="2" t="s">
        <v>2950</v>
      </c>
      <c r="O257" t="s">
        <v>111</v>
      </c>
      <c r="P257" t="s">
        <v>90</v>
      </c>
      <c r="Q257" t="s">
        <v>79</v>
      </c>
      <c r="R257">
        <v>3.8</v>
      </c>
      <c r="S257" t="s">
        <v>2952</v>
      </c>
    </row>
    <row r="258" spans="1:19" x14ac:dyDescent="0.3">
      <c r="A258" t="s">
        <v>797</v>
      </c>
      <c r="B258" t="s">
        <v>154</v>
      </c>
      <c r="C258" t="s">
        <v>176</v>
      </c>
      <c r="D258" t="s">
        <v>24</v>
      </c>
      <c r="E258">
        <v>28</v>
      </c>
      <c r="F258" t="s">
        <v>2945</v>
      </c>
      <c r="G258" t="s">
        <v>792</v>
      </c>
      <c r="H258" t="s">
        <v>2369</v>
      </c>
      <c r="I258" t="s">
        <v>517</v>
      </c>
      <c r="J258" t="s">
        <v>151</v>
      </c>
      <c r="K258" t="s">
        <v>48</v>
      </c>
      <c r="M258" s="2">
        <v>779961</v>
      </c>
      <c r="N258" s="2" t="s">
        <v>2950</v>
      </c>
      <c r="O258" t="s">
        <v>111</v>
      </c>
      <c r="P258" t="s">
        <v>21</v>
      </c>
      <c r="Q258" t="s">
        <v>244</v>
      </c>
      <c r="R258">
        <v>8.1</v>
      </c>
      <c r="S258" t="s">
        <v>2951</v>
      </c>
    </row>
    <row r="259" spans="1:19" x14ac:dyDescent="0.3">
      <c r="A259" t="s">
        <v>800</v>
      </c>
      <c r="B259" t="s">
        <v>224</v>
      </c>
      <c r="C259" t="s">
        <v>82</v>
      </c>
      <c r="D259" t="s">
        <v>45</v>
      </c>
      <c r="E259">
        <v>41</v>
      </c>
      <c r="F259" t="s">
        <v>2946</v>
      </c>
      <c r="G259" t="s">
        <v>794</v>
      </c>
      <c r="H259" t="s">
        <v>2369</v>
      </c>
      <c r="I259" t="s">
        <v>485</v>
      </c>
      <c r="J259" t="s">
        <v>179</v>
      </c>
      <c r="K259" t="s">
        <v>71</v>
      </c>
      <c r="L259" s="1">
        <v>42578</v>
      </c>
      <c r="M259" s="2">
        <v>371860</v>
      </c>
      <c r="N259" s="2" t="s">
        <v>2948</v>
      </c>
      <c r="O259" t="s">
        <v>111</v>
      </c>
      <c r="P259" t="s">
        <v>90</v>
      </c>
      <c r="Q259" t="s">
        <v>65</v>
      </c>
      <c r="R259">
        <v>9.8000000000000007</v>
      </c>
      <c r="S259" t="s">
        <v>2951</v>
      </c>
    </row>
    <row r="260" spans="1:19" x14ac:dyDescent="0.3">
      <c r="A260" t="s">
        <v>802</v>
      </c>
      <c r="B260" t="s">
        <v>74</v>
      </c>
      <c r="C260" t="s">
        <v>18</v>
      </c>
      <c r="D260" t="s">
        <v>24</v>
      </c>
      <c r="E260">
        <v>23</v>
      </c>
      <c r="F260" t="s">
        <v>2945</v>
      </c>
      <c r="G260" t="s">
        <v>2369</v>
      </c>
      <c r="H260" t="s">
        <v>2590</v>
      </c>
      <c r="I260" t="s">
        <v>368</v>
      </c>
      <c r="J260" t="s">
        <v>796</v>
      </c>
      <c r="K260" t="s">
        <v>28</v>
      </c>
      <c r="L260" s="1">
        <v>43538</v>
      </c>
      <c r="M260" s="2">
        <v>715996</v>
      </c>
      <c r="N260" s="2" t="s">
        <v>2950</v>
      </c>
      <c r="O260" t="s">
        <v>111</v>
      </c>
      <c r="P260" t="s">
        <v>205</v>
      </c>
      <c r="Q260" t="s">
        <v>72</v>
      </c>
      <c r="R260">
        <v>7.2</v>
      </c>
      <c r="S260" t="s">
        <v>2953</v>
      </c>
    </row>
    <row r="261" spans="1:19" x14ac:dyDescent="0.3">
      <c r="A261" t="s">
        <v>804</v>
      </c>
      <c r="B261" t="s">
        <v>416</v>
      </c>
      <c r="C261" t="s">
        <v>38</v>
      </c>
      <c r="D261" t="s">
        <v>24</v>
      </c>
      <c r="E261">
        <v>26</v>
      </c>
      <c r="F261" t="s">
        <v>2945</v>
      </c>
      <c r="G261" t="s">
        <v>798</v>
      </c>
      <c r="H261" t="s">
        <v>799</v>
      </c>
      <c r="I261" t="s">
        <v>485</v>
      </c>
      <c r="J261" t="s">
        <v>257</v>
      </c>
      <c r="K261" t="s">
        <v>71</v>
      </c>
      <c r="L261" s="1">
        <v>44293</v>
      </c>
      <c r="M261" s="2">
        <v>224570</v>
      </c>
      <c r="N261" s="2" t="s">
        <v>2948</v>
      </c>
      <c r="O261" t="s">
        <v>41</v>
      </c>
      <c r="P261" t="s">
        <v>90</v>
      </c>
      <c r="Q261" t="s">
        <v>244</v>
      </c>
      <c r="R261">
        <v>5.0999999999999996</v>
      </c>
      <c r="S261" t="s">
        <v>2953</v>
      </c>
    </row>
    <row r="262" spans="1:19" x14ac:dyDescent="0.3">
      <c r="A262" t="s">
        <v>807</v>
      </c>
      <c r="B262" t="s">
        <v>74</v>
      </c>
      <c r="C262" t="s">
        <v>229</v>
      </c>
      <c r="D262" t="s">
        <v>45</v>
      </c>
      <c r="E262">
        <v>34</v>
      </c>
      <c r="F262" t="s">
        <v>2946</v>
      </c>
      <c r="G262" t="s">
        <v>509</v>
      </c>
      <c r="H262" t="s">
        <v>2591</v>
      </c>
      <c r="I262" t="s">
        <v>368</v>
      </c>
      <c r="J262" t="s">
        <v>801</v>
      </c>
      <c r="K262" t="s">
        <v>28</v>
      </c>
      <c r="L262" s="1">
        <v>43731</v>
      </c>
      <c r="M262" s="2">
        <v>353553</v>
      </c>
      <c r="N262" s="2" t="s">
        <v>2948</v>
      </c>
      <c r="O262" t="s">
        <v>111</v>
      </c>
      <c r="P262" t="s">
        <v>152</v>
      </c>
      <c r="Q262" t="s">
        <v>65</v>
      </c>
      <c r="R262">
        <v>6.6</v>
      </c>
      <c r="S262" t="s">
        <v>2953</v>
      </c>
    </row>
    <row r="263" spans="1:19" x14ac:dyDescent="0.3">
      <c r="A263" t="s">
        <v>809</v>
      </c>
      <c r="B263" t="s">
        <v>67</v>
      </c>
      <c r="C263" t="s">
        <v>104</v>
      </c>
      <c r="D263" t="s">
        <v>24</v>
      </c>
      <c r="E263">
        <v>46</v>
      </c>
      <c r="F263" t="s">
        <v>2947</v>
      </c>
      <c r="G263" t="s">
        <v>803</v>
      </c>
      <c r="H263" t="s">
        <v>2369</v>
      </c>
      <c r="I263" t="s">
        <v>53</v>
      </c>
      <c r="J263" t="s">
        <v>54</v>
      </c>
      <c r="K263" t="s">
        <v>48</v>
      </c>
      <c r="L263" s="1">
        <v>43590</v>
      </c>
      <c r="M263" s="2">
        <v>882875</v>
      </c>
      <c r="N263" s="2" t="s">
        <v>2950</v>
      </c>
      <c r="O263" t="s">
        <v>130</v>
      </c>
      <c r="P263" t="s">
        <v>353</v>
      </c>
      <c r="Q263" t="s">
        <v>72</v>
      </c>
      <c r="R263">
        <v>7</v>
      </c>
      <c r="S263" t="s">
        <v>2953</v>
      </c>
    </row>
    <row r="264" spans="1:19" x14ac:dyDescent="0.3">
      <c r="A264" t="s">
        <v>812</v>
      </c>
      <c r="B264" t="s">
        <v>61</v>
      </c>
      <c r="C264" t="s">
        <v>18</v>
      </c>
      <c r="D264" t="s">
        <v>24</v>
      </c>
      <c r="E264">
        <v>53</v>
      </c>
      <c r="F264" t="s">
        <v>2947</v>
      </c>
      <c r="G264" t="s">
        <v>805</v>
      </c>
      <c r="H264" t="s">
        <v>2592</v>
      </c>
      <c r="I264" t="s">
        <v>271</v>
      </c>
      <c r="J264" t="s">
        <v>806</v>
      </c>
      <c r="K264" t="s">
        <v>71</v>
      </c>
      <c r="L264" s="1">
        <v>44231</v>
      </c>
      <c r="N264" s="2" t="s">
        <v>2369</v>
      </c>
      <c r="O264" t="s">
        <v>41</v>
      </c>
      <c r="P264" t="s">
        <v>152</v>
      </c>
      <c r="Q264" t="s">
        <v>65</v>
      </c>
      <c r="R264">
        <v>5.3</v>
      </c>
      <c r="S264" t="s">
        <v>2953</v>
      </c>
    </row>
    <row r="265" spans="1:19" x14ac:dyDescent="0.3">
      <c r="A265" t="s">
        <v>814</v>
      </c>
      <c r="B265" t="s">
        <v>326</v>
      </c>
      <c r="C265" t="s">
        <v>318</v>
      </c>
      <c r="D265" t="s">
        <v>24</v>
      </c>
      <c r="E265">
        <v>39</v>
      </c>
      <c r="F265" t="s">
        <v>2946</v>
      </c>
      <c r="G265" t="s">
        <v>808</v>
      </c>
      <c r="H265" t="s">
        <v>2593</v>
      </c>
      <c r="I265" t="s">
        <v>209</v>
      </c>
      <c r="J265" t="s">
        <v>383</v>
      </c>
      <c r="K265" t="s">
        <v>28</v>
      </c>
      <c r="L265" s="1">
        <v>42351</v>
      </c>
      <c r="M265" s="2">
        <v>142621</v>
      </c>
      <c r="N265" s="2" t="s">
        <v>2949</v>
      </c>
      <c r="O265" t="s">
        <v>111</v>
      </c>
      <c r="P265" t="s">
        <v>205</v>
      </c>
      <c r="Q265" t="s">
        <v>158</v>
      </c>
      <c r="R265">
        <v>10.4</v>
      </c>
      <c r="S265" t="s">
        <v>2951</v>
      </c>
    </row>
    <row r="266" spans="1:19" x14ac:dyDescent="0.3">
      <c r="A266" t="s">
        <v>816</v>
      </c>
      <c r="B266" t="s">
        <v>412</v>
      </c>
      <c r="C266" t="s">
        <v>86</v>
      </c>
      <c r="D266" t="s">
        <v>24</v>
      </c>
      <c r="F266" t="s">
        <v>2369</v>
      </c>
      <c r="G266" t="s">
        <v>810</v>
      </c>
      <c r="H266" t="s">
        <v>2594</v>
      </c>
      <c r="I266" t="s">
        <v>209</v>
      </c>
      <c r="J266" t="s">
        <v>811</v>
      </c>
      <c r="K266" t="s">
        <v>35</v>
      </c>
      <c r="L266" s="1">
        <v>44130</v>
      </c>
      <c r="M266" s="2">
        <v>352735</v>
      </c>
      <c r="N266" s="2" t="s">
        <v>2948</v>
      </c>
      <c r="O266" t="s">
        <v>216</v>
      </c>
      <c r="P266" t="s">
        <v>353</v>
      </c>
      <c r="Q266" t="s">
        <v>72</v>
      </c>
      <c r="R266">
        <v>5.5</v>
      </c>
      <c r="S266" t="s">
        <v>2953</v>
      </c>
    </row>
    <row r="267" spans="1:19" x14ac:dyDescent="0.3">
      <c r="A267" t="s">
        <v>2327</v>
      </c>
      <c r="B267" t="s">
        <v>127</v>
      </c>
      <c r="C267" t="s">
        <v>57</v>
      </c>
      <c r="D267" t="s">
        <v>24</v>
      </c>
      <c r="E267">
        <v>53</v>
      </c>
      <c r="F267" t="s">
        <v>2947</v>
      </c>
      <c r="G267" t="s">
        <v>813</v>
      </c>
      <c r="H267" t="s">
        <v>2595</v>
      </c>
      <c r="I267" t="s">
        <v>517</v>
      </c>
      <c r="J267" t="s">
        <v>151</v>
      </c>
      <c r="K267" t="s">
        <v>48</v>
      </c>
      <c r="L267" s="1">
        <v>43136</v>
      </c>
      <c r="M267" s="2">
        <v>352148</v>
      </c>
      <c r="N267" s="2" t="s">
        <v>2948</v>
      </c>
      <c r="O267" t="s">
        <v>130</v>
      </c>
      <c r="P267" t="s">
        <v>21</v>
      </c>
      <c r="Q267" t="s">
        <v>158</v>
      </c>
      <c r="R267">
        <v>8.3000000000000007</v>
      </c>
      <c r="S267" t="s">
        <v>2951</v>
      </c>
    </row>
    <row r="268" spans="1:19" x14ac:dyDescent="0.3">
      <c r="A268" t="s">
        <v>820</v>
      </c>
      <c r="B268" t="s">
        <v>555</v>
      </c>
      <c r="C268" t="s">
        <v>183</v>
      </c>
      <c r="D268" t="s">
        <v>24</v>
      </c>
      <c r="E268">
        <v>48</v>
      </c>
      <c r="F268" t="s">
        <v>2947</v>
      </c>
      <c r="G268" t="s">
        <v>815</v>
      </c>
      <c r="H268" t="s">
        <v>2369</v>
      </c>
      <c r="I268" t="s">
        <v>368</v>
      </c>
      <c r="J268" t="s">
        <v>47</v>
      </c>
      <c r="K268" t="s">
        <v>48</v>
      </c>
      <c r="L268" s="1">
        <v>43480</v>
      </c>
      <c r="M268" s="2">
        <v>431258</v>
      </c>
      <c r="N268" s="2" t="s">
        <v>2948</v>
      </c>
      <c r="O268" t="s">
        <v>216</v>
      </c>
      <c r="P268" t="s">
        <v>205</v>
      </c>
      <c r="Q268" t="s">
        <v>65</v>
      </c>
      <c r="R268">
        <v>7.3</v>
      </c>
      <c r="S268" t="s">
        <v>2953</v>
      </c>
    </row>
    <row r="269" spans="1:19" x14ac:dyDescent="0.3">
      <c r="A269" t="s">
        <v>823</v>
      </c>
      <c r="B269" t="s">
        <v>233</v>
      </c>
      <c r="C269" t="s">
        <v>264</v>
      </c>
      <c r="D269" t="s">
        <v>45</v>
      </c>
      <c r="E269">
        <v>50</v>
      </c>
      <c r="F269" t="s">
        <v>2947</v>
      </c>
      <c r="G269" t="s">
        <v>817</v>
      </c>
      <c r="H269" t="s">
        <v>2596</v>
      </c>
      <c r="I269" t="s">
        <v>209</v>
      </c>
      <c r="J269" t="s">
        <v>393</v>
      </c>
      <c r="K269" t="s">
        <v>35</v>
      </c>
      <c r="L269" s="1">
        <v>44153</v>
      </c>
      <c r="M269" s="2">
        <v>625611</v>
      </c>
      <c r="N269" s="2" t="s">
        <v>2950</v>
      </c>
      <c r="O269" t="s">
        <v>130</v>
      </c>
      <c r="P269" t="s">
        <v>90</v>
      </c>
      <c r="Q269" t="s">
        <v>244</v>
      </c>
      <c r="R269">
        <v>5.5</v>
      </c>
      <c r="S269" t="s">
        <v>2953</v>
      </c>
    </row>
    <row r="270" spans="1:19" x14ac:dyDescent="0.3">
      <c r="A270" t="s">
        <v>826</v>
      </c>
      <c r="B270" t="s">
        <v>124</v>
      </c>
      <c r="C270" t="s">
        <v>82</v>
      </c>
      <c r="D270" t="s">
        <v>24</v>
      </c>
      <c r="E270">
        <v>51</v>
      </c>
      <c r="F270" t="s">
        <v>2947</v>
      </c>
      <c r="G270" t="s">
        <v>818</v>
      </c>
      <c r="H270" t="s">
        <v>819</v>
      </c>
      <c r="I270" t="s">
        <v>517</v>
      </c>
      <c r="J270" t="s">
        <v>512</v>
      </c>
      <c r="K270" t="s">
        <v>48</v>
      </c>
      <c r="L270" s="1">
        <v>42816</v>
      </c>
      <c r="M270" s="2">
        <v>268655</v>
      </c>
      <c r="N270" s="2" t="s">
        <v>2948</v>
      </c>
      <c r="O270" t="s">
        <v>253</v>
      </c>
      <c r="P270" t="s">
        <v>152</v>
      </c>
      <c r="Q270" t="s">
        <v>72</v>
      </c>
      <c r="R270">
        <v>9.1</v>
      </c>
      <c r="S270" t="s">
        <v>2951</v>
      </c>
    </row>
    <row r="271" spans="1:19" x14ac:dyDescent="0.3">
      <c r="A271" t="s">
        <v>828</v>
      </c>
      <c r="B271" t="s">
        <v>97</v>
      </c>
      <c r="C271" t="s">
        <v>75</v>
      </c>
      <c r="D271" t="s">
        <v>24</v>
      </c>
      <c r="E271">
        <v>31</v>
      </c>
      <c r="F271" t="s">
        <v>2946</v>
      </c>
      <c r="G271" t="s">
        <v>821</v>
      </c>
      <c r="H271" t="s">
        <v>822</v>
      </c>
      <c r="I271" t="s">
        <v>209</v>
      </c>
      <c r="J271" t="s">
        <v>616</v>
      </c>
      <c r="K271" t="s">
        <v>28</v>
      </c>
      <c r="L271" s="1">
        <v>44091</v>
      </c>
      <c r="M271" s="2">
        <v>167859</v>
      </c>
      <c r="N271" s="2" t="s">
        <v>2949</v>
      </c>
      <c r="O271" t="s">
        <v>111</v>
      </c>
      <c r="P271" t="s">
        <v>152</v>
      </c>
      <c r="Q271" t="s">
        <v>244</v>
      </c>
      <c r="R271">
        <v>5.7</v>
      </c>
      <c r="S271" t="s">
        <v>2953</v>
      </c>
    </row>
    <row r="272" spans="1:19" x14ac:dyDescent="0.3">
      <c r="A272" t="s">
        <v>830</v>
      </c>
      <c r="B272" t="s">
        <v>555</v>
      </c>
      <c r="C272" t="s">
        <v>149</v>
      </c>
      <c r="D272" t="s">
        <v>45</v>
      </c>
      <c r="E272">
        <v>39</v>
      </c>
      <c r="F272" t="s">
        <v>2946</v>
      </c>
      <c r="G272" t="s">
        <v>824</v>
      </c>
      <c r="H272" t="s">
        <v>825</v>
      </c>
      <c r="I272" t="s">
        <v>209</v>
      </c>
      <c r="J272" t="s">
        <v>166</v>
      </c>
      <c r="K272" t="s">
        <v>35</v>
      </c>
      <c r="L272" s="1">
        <v>42953</v>
      </c>
      <c r="M272" s="2">
        <v>778806</v>
      </c>
      <c r="N272" s="2" t="s">
        <v>2950</v>
      </c>
      <c r="O272" t="s">
        <v>198</v>
      </c>
      <c r="P272" t="s">
        <v>21</v>
      </c>
      <c r="Q272" t="s">
        <v>72</v>
      </c>
      <c r="R272">
        <v>8.8000000000000007</v>
      </c>
      <c r="S272" t="s">
        <v>2951</v>
      </c>
    </row>
    <row r="273" spans="1:19" x14ac:dyDescent="0.3">
      <c r="A273" t="s">
        <v>832</v>
      </c>
      <c r="B273" t="s">
        <v>148</v>
      </c>
      <c r="C273" t="s">
        <v>38</v>
      </c>
      <c r="D273" t="s">
        <v>45</v>
      </c>
      <c r="E273">
        <v>54</v>
      </c>
      <c r="F273" t="s">
        <v>2947</v>
      </c>
      <c r="G273" t="s">
        <v>827</v>
      </c>
      <c r="H273" t="s">
        <v>2597</v>
      </c>
      <c r="I273" t="s">
        <v>485</v>
      </c>
      <c r="J273" t="s">
        <v>459</v>
      </c>
      <c r="K273" t="s">
        <v>48</v>
      </c>
      <c r="N273" s="2" t="s">
        <v>2369</v>
      </c>
      <c r="O273" t="s">
        <v>253</v>
      </c>
      <c r="P273" t="s">
        <v>353</v>
      </c>
      <c r="Q273" t="s">
        <v>65</v>
      </c>
      <c r="R273">
        <v>4.3</v>
      </c>
      <c r="S273" t="s">
        <v>2952</v>
      </c>
    </row>
    <row r="274" spans="1:19" x14ac:dyDescent="0.3">
      <c r="A274" t="s">
        <v>834</v>
      </c>
      <c r="B274" t="s">
        <v>81</v>
      </c>
      <c r="C274" t="s">
        <v>273</v>
      </c>
      <c r="D274" t="s">
        <v>45</v>
      </c>
      <c r="E274">
        <v>55</v>
      </c>
      <c r="F274" t="s">
        <v>2947</v>
      </c>
      <c r="G274" t="s">
        <v>829</v>
      </c>
      <c r="H274" t="s">
        <v>2369</v>
      </c>
      <c r="I274" t="s">
        <v>209</v>
      </c>
      <c r="J274" t="s">
        <v>393</v>
      </c>
      <c r="K274" t="s">
        <v>28</v>
      </c>
      <c r="L274" s="1">
        <v>43433</v>
      </c>
      <c r="M274" s="2">
        <v>587755</v>
      </c>
      <c r="N274" s="2" t="s">
        <v>2950</v>
      </c>
      <c r="O274" t="s">
        <v>111</v>
      </c>
      <c r="P274" t="s">
        <v>205</v>
      </c>
      <c r="Q274" t="s">
        <v>79</v>
      </c>
      <c r="R274">
        <v>7.5</v>
      </c>
      <c r="S274" t="s">
        <v>2953</v>
      </c>
    </row>
    <row r="275" spans="1:19" x14ac:dyDescent="0.3">
      <c r="A275" t="s">
        <v>836</v>
      </c>
      <c r="B275" t="s">
        <v>281</v>
      </c>
      <c r="C275" t="s">
        <v>264</v>
      </c>
      <c r="D275" t="s">
        <v>24</v>
      </c>
      <c r="E275">
        <v>42</v>
      </c>
      <c r="F275" t="s">
        <v>2946</v>
      </c>
      <c r="G275" t="s">
        <v>831</v>
      </c>
      <c r="H275" t="s">
        <v>2598</v>
      </c>
      <c r="I275" t="s">
        <v>53</v>
      </c>
      <c r="J275" t="s">
        <v>659</v>
      </c>
      <c r="K275" t="s">
        <v>28</v>
      </c>
      <c r="L275" s="1">
        <v>43076</v>
      </c>
      <c r="M275" s="2">
        <v>787777</v>
      </c>
      <c r="N275" s="2" t="s">
        <v>2950</v>
      </c>
      <c r="O275" t="s">
        <v>111</v>
      </c>
      <c r="P275" t="s">
        <v>205</v>
      </c>
      <c r="Q275" t="s">
        <v>244</v>
      </c>
      <c r="R275">
        <v>8.4</v>
      </c>
      <c r="S275" t="s">
        <v>2951</v>
      </c>
    </row>
    <row r="276" spans="1:19" x14ac:dyDescent="0.3">
      <c r="A276" t="s">
        <v>838</v>
      </c>
      <c r="B276" t="s">
        <v>377</v>
      </c>
      <c r="C276" t="s">
        <v>362</v>
      </c>
      <c r="D276" t="s">
        <v>45</v>
      </c>
      <c r="E276">
        <v>57</v>
      </c>
      <c r="F276" t="s">
        <v>2947</v>
      </c>
      <c r="G276" t="s">
        <v>2437</v>
      </c>
      <c r="H276" t="s">
        <v>833</v>
      </c>
      <c r="I276" t="s">
        <v>100</v>
      </c>
      <c r="J276" t="s">
        <v>343</v>
      </c>
      <c r="K276" t="s">
        <v>35</v>
      </c>
      <c r="L276" s="1">
        <v>43698</v>
      </c>
      <c r="M276" s="2">
        <v>306088</v>
      </c>
      <c r="N276" s="2" t="s">
        <v>2948</v>
      </c>
      <c r="O276" t="s">
        <v>130</v>
      </c>
      <c r="P276" t="s">
        <v>205</v>
      </c>
      <c r="Q276" t="s">
        <v>79</v>
      </c>
      <c r="R276">
        <v>6.7</v>
      </c>
      <c r="S276" t="s">
        <v>2953</v>
      </c>
    </row>
    <row r="277" spans="1:19" x14ac:dyDescent="0.3">
      <c r="A277" t="s">
        <v>840</v>
      </c>
      <c r="B277" t="s">
        <v>385</v>
      </c>
      <c r="C277" t="s">
        <v>336</v>
      </c>
      <c r="D277" t="s">
        <v>24</v>
      </c>
      <c r="E277">
        <v>23</v>
      </c>
      <c r="F277" t="s">
        <v>2945</v>
      </c>
      <c r="G277" t="s">
        <v>835</v>
      </c>
      <c r="H277" t="s">
        <v>2599</v>
      </c>
      <c r="I277" t="s">
        <v>394</v>
      </c>
      <c r="J277" t="s">
        <v>395</v>
      </c>
      <c r="K277" t="s">
        <v>28</v>
      </c>
      <c r="L277" s="1">
        <v>43746</v>
      </c>
      <c r="M277" s="2">
        <v>617243</v>
      </c>
      <c r="N277" s="2" t="s">
        <v>2950</v>
      </c>
      <c r="O277" t="s">
        <v>130</v>
      </c>
      <c r="P277" t="s">
        <v>90</v>
      </c>
      <c r="Q277" t="s">
        <v>79</v>
      </c>
      <c r="R277">
        <v>6.6</v>
      </c>
      <c r="S277" t="s">
        <v>2953</v>
      </c>
    </row>
    <row r="278" spans="1:19" x14ac:dyDescent="0.3">
      <c r="A278" t="s">
        <v>843</v>
      </c>
      <c r="B278" t="s">
        <v>348</v>
      </c>
      <c r="C278" t="s">
        <v>161</v>
      </c>
      <c r="D278" t="s">
        <v>24</v>
      </c>
      <c r="E278">
        <v>52</v>
      </c>
      <c r="F278" t="s">
        <v>2947</v>
      </c>
      <c r="G278" t="s">
        <v>837</v>
      </c>
      <c r="H278" t="s">
        <v>2600</v>
      </c>
      <c r="I278" t="s">
        <v>235</v>
      </c>
      <c r="J278" t="s">
        <v>528</v>
      </c>
      <c r="K278" t="s">
        <v>48</v>
      </c>
      <c r="L278" s="1">
        <v>43745</v>
      </c>
      <c r="M278" s="2">
        <v>726435</v>
      </c>
      <c r="N278" s="2" t="s">
        <v>2950</v>
      </c>
      <c r="O278" t="s">
        <v>41</v>
      </c>
      <c r="P278" t="s">
        <v>90</v>
      </c>
      <c r="Q278" t="s">
        <v>158</v>
      </c>
      <c r="R278">
        <v>6.8</v>
      </c>
      <c r="S278" t="s">
        <v>2953</v>
      </c>
    </row>
    <row r="279" spans="1:19" x14ac:dyDescent="0.3">
      <c r="A279" t="s">
        <v>845</v>
      </c>
      <c r="B279" t="s">
        <v>347</v>
      </c>
      <c r="C279" t="s">
        <v>213</v>
      </c>
      <c r="D279" t="s">
        <v>24</v>
      </c>
      <c r="E279">
        <v>53</v>
      </c>
      <c r="F279" t="s">
        <v>2947</v>
      </c>
      <c r="G279" t="s">
        <v>839</v>
      </c>
      <c r="H279" t="s">
        <v>2601</v>
      </c>
      <c r="I279" t="s">
        <v>592</v>
      </c>
      <c r="J279" t="s">
        <v>522</v>
      </c>
      <c r="K279" t="s">
        <v>71</v>
      </c>
      <c r="L279" s="1">
        <v>44569</v>
      </c>
      <c r="M279" s="2">
        <v>630071</v>
      </c>
      <c r="N279" s="2" t="s">
        <v>2950</v>
      </c>
      <c r="O279" t="s">
        <v>130</v>
      </c>
      <c r="P279" t="s">
        <v>152</v>
      </c>
      <c r="Q279" t="s">
        <v>158</v>
      </c>
      <c r="R279">
        <v>4.3</v>
      </c>
      <c r="S279" t="s">
        <v>2952</v>
      </c>
    </row>
    <row r="280" spans="1:19" x14ac:dyDescent="0.3">
      <c r="A280" t="s">
        <v>847</v>
      </c>
      <c r="B280" t="s">
        <v>310</v>
      </c>
      <c r="C280" t="s">
        <v>62</v>
      </c>
      <c r="D280" t="s">
        <v>45</v>
      </c>
      <c r="E280">
        <v>51</v>
      </c>
      <c r="F280" t="s">
        <v>2947</v>
      </c>
      <c r="G280" t="s">
        <v>841</v>
      </c>
      <c r="H280" t="s">
        <v>842</v>
      </c>
      <c r="I280" t="s">
        <v>53</v>
      </c>
      <c r="J280" t="s">
        <v>659</v>
      </c>
      <c r="K280" t="s">
        <v>35</v>
      </c>
      <c r="L280" s="1">
        <v>42392</v>
      </c>
      <c r="M280" s="2">
        <v>144076</v>
      </c>
      <c r="N280" s="2" t="s">
        <v>2949</v>
      </c>
      <c r="O280" t="s">
        <v>130</v>
      </c>
      <c r="P280" t="s">
        <v>205</v>
      </c>
      <c r="Q280" t="s">
        <v>72</v>
      </c>
      <c r="R280">
        <v>10.3</v>
      </c>
      <c r="S280" t="s">
        <v>2951</v>
      </c>
    </row>
    <row r="281" spans="1:19" x14ac:dyDescent="0.3">
      <c r="A281" t="s">
        <v>849</v>
      </c>
      <c r="B281" t="s">
        <v>416</v>
      </c>
      <c r="C281" t="s">
        <v>93</v>
      </c>
      <c r="D281" t="s">
        <v>24</v>
      </c>
      <c r="E281">
        <v>27</v>
      </c>
      <c r="F281" t="s">
        <v>2945</v>
      </c>
      <c r="G281" t="s">
        <v>2377</v>
      </c>
      <c r="H281" t="s">
        <v>844</v>
      </c>
      <c r="I281" t="s">
        <v>100</v>
      </c>
      <c r="J281" t="s">
        <v>357</v>
      </c>
      <c r="K281" t="s">
        <v>71</v>
      </c>
      <c r="L281" s="1">
        <v>42954</v>
      </c>
      <c r="M281" s="2">
        <v>306957</v>
      </c>
      <c r="N281" s="2" t="s">
        <v>2948</v>
      </c>
      <c r="O281" t="s">
        <v>111</v>
      </c>
      <c r="P281" t="s">
        <v>152</v>
      </c>
      <c r="Q281" t="s">
        <v>65</v>
      </c>
      <c r="R281">
        <v>8.8000000000000007</v>
      </c>
      <c r="S281" t="s">
        <v>2951</v>
      </c>
    </row>
    <row r="282" spans="1:19" x14ac:dyDescent="0.3">
      <c r="A282" t="s">
        <v>851</v>
      </c>
      <c r="B282" t="s">
        <v>30</v>
      </c>
      <c r="C282" t="s">
        <v>516</v>
      </c>
      <c r="D282" t="s">
        <v>45</v>
      </c>
      <c r="E282">
        <v>44</v>
      </c>
      <c r="F282" t="s">
        <v>2946</v>
      </c>
      <c r="G282" t="s">
        <v>846</v>
      </c>
      <c r="H282" t="s">
        <v>2369</v>
      </c>
      <c r="I282" t="s">
        <v>100</v>
      </c>
      <c r="J282" t="s">
        <v>647</v>
      </c>
      <c r="K282" t="s">
        <v>71</v>
      </c>
      <c r="L282" s="1">
        <v>43502</v>
      </c>
      <c r="M282" s="2">
        <v>568715</v>
      </c>
      <c r="N282" s="2" t="s">
        <v>2950</v>
      </c>
      <c r="O282" t="s">
        <v>111</v>
      </c>
      <c r="P282" t="s">
        <v>152</v>
      </c>
      <c r="Q282" t="s">
        <v>158</v>
      </c>
      <c r="R282">
        <v>7.3</v>
      </c>
      <c r="S282" t="s">
        <v>2953</v>
      </c>
    </row>
    <row r="283" spans="1:19" x14ac:dyDescent="0.3">
      <c r="A283" t="s">
        <v>854</v>
      </c>
      <c r="B283" t="s">
        <v>30</v>
      </c>
      <c r="C283" t="s">
        <v>114</v>
      </c>
      <c r="D283" t="s">
        <v>45</v>
      </c>
      <c r="E283">
        <v>31</v>
      </c>
      <c r="F283" t="s">
        <v>2946</v>
      </c>
      <c r="G283" t="s">
        <v>848</v>
      </c>
      <c r="H283" t="s">
        <v>2369</v>
      </c>
      <c r="I283" t="s">
        <v>271</v>
      </c>
      <c r="J283" t="s">
        <v>129</v>
      </c>
      <c r="K283" t="s">
        <v>48</v>
      </c>
      <c r="L283" s="1">
        <v>42123</v>
      </c>
      <c r="M283" s="2">
        <v>722693</v>
      </c>
      <c r="N283" s="2" t="s">
        <v>2950</v>
      </c>
      <c r="O283" t="s">
        <v>41</v>
      </c>
      <c r="P283" t="s">
        <v>21</v>
      </c>
      <c r="Q283" t="s">
        <v>244</v>
      </c>
      <c r="R283">
        <v>11</v>
      </c>
      <c r="S283" t="s">
        <v>2951</v>
      </c>
    </row>
    <row r="284" spans="1:19" x14ac:dyDescent="0.3">
      <c r="A284" t="s">
        <v>856</v>
      </c>
      <c r="B284" t="s">
        <v>56</v>
      </c>
      <c r="C284" t="s">
        <v>176</v>
      </c>
      <c r="D284" t="s">
        <v>24</v>
      </c>
      <c r="E284">
        <v>22</v>
      </c>
      <c r="F284" t="s">
        <v>2945</v>
      </c>
      <c r="G284" t="s">
        <v>850</v>
      </c>
      <c r="H284" t="s">
        <v>2602</v>
      </c>
      <c r="I284" t="s">
        <v>53</v>
      </c>
      <c r="J284" t="s">
        <v>712</v>
      </c>
      <c r="K284" t="s">
        <v>71</v>
      </c>
      <c r="L284" s="1">
        <v>44607</v>
      </c>
      <c r="M284" s="2">
        <v>863106</v>
      </c>
      <c r="N284" s="2" t="s">
        <v>2950</v>
      </c>
      <c r="O284" t="s">
        <v>253</v>
      </c>
      <c r="P284" t="s">
        <v>152</v>
      </c>
      <c r="Q284" t="s">
        <v>72</v>
      </c>
      <c r="R284">
        <v>4.2</v>
      </c>
      <c r="S284" t="s">
        <v>2952</v>
      </c>
    </row>
    <row r="285" spans="1:19" x14ac:dyDescent="0.3">
      <c r="A285" t="s">
        <v>858</v>
      </c>
      <c r="B285" t="s">
        <v>326</v>
      </c>
      <c r="C285" t="s">
        <v>176</v>
      </c>
      <c r="D285" t="s">
        <v>24</v>
      </c>
      <c r="F285" t="s">
        <v>2369</v>
      </c>
      <c r="G285" t="s">
        <v>852</v>
      </c>
      <c r="H285" t="s">
        <v>853</v>
      </c>
      <c r="I285" t="s">
        <v>100</v>
      </c>
      <c r="J285" t="s">
        <v>101</v>
      </c>
      <c r="K285" t="s">
        <v>71</v>
      </c>
      <c r="L285" s="1">
        <v>44862</v>
      </c>
      <c r="M285" s="2">
        <v>540952</v>
      </c>
      <c r="N285" s="2" t="s">
        <v>2950</v>
      </c>
      <c r="O285" t="s">
        <v>111</v>
      </c>
      <c r="P285" t="s">
        <v>353</v>
      </c>
      <c r="Q285" t="s">
        <v>244</v>
      </c>
      <c r="R285">
        <v>3.5</v>
      </c>
      <c r="S285" t="s">
        <v>2952</v>
      </c>
    </row>
    <row r="286" spans="1:19" x14ac:dyDescent="0.3">
      <c r="A286" t="s">
        <v>860</v>
      </c>
      <c r="B286" t="s">
        <v>187</v>
      </c>
      <c r="C286" t="s">
        <v>141</v>
      </c>
      <c r="D286" t="s">
        <v>24</v>
      </c>
      <c r="E286">
        <v>48</v>
      </c>
      <c r="F286" t="s">
        <v>2947</v>
      </c>
      <c r="G286" t="s">
        <v>689</v>
      </c>
      <c r="H286" t="s">
        <v>855</v>
      </c>
      <c r="I286" t="s">
        <v>271</v>
      </c>
      <c r="J286" t="s">
        <v>40</v>
      </c>
      <c r="K286" t="s">
        <v>48</v>
      </c>
      <c r="L286" s="1">
        <v>42037</v>
      </c>
      <c r="M286" s="2">
        <v>246461</v>
      </c>
      <c r="N286" s="2" t="s">
        <v>2948</v>
      </c>
      <c r="O286" t="s">
        <v>41</v>
      </c>
      <c r="P286" t="s">
        <v>353</v>
      </c>
      <c r="Q286" t="s">
        <v>244</v>
      </c>
      <c r="R286">
        <v>11.3</v>
      </c>
      <c r="S286" t="s">
        <v>2951</v>
      </c>
    </row>
    <row r="287" spans="1:19" x14ac:dyDescent="0.3">
      <c r="A287" t="s">
        <v>862</v>
      </c>
      <c r="B287" t="s">
        <v>385</v>
      </c>
      <c r="C287" t="s">
        <v>82</v>
      </c>
      <c r="D287" t="s">
        <v>45</v>
      </c>
      <c r="E287">
        <v>27</v>
      </c>
      <c r="F287" t="s">
        <v>2945</v>
      </c>
      <c r="G287" t="s">
        <v>857</v>
      </c>
      <c r="H287" t="s">
        <v>2369</v>
      </c>
      <c r="I287" t="s">
        <v>100</v>
      </c>
      <c r="J287" t="s">
        <v>692</v>
      </c>
      <c r="K287" t="s">
        <v>71</v>
      </c>
      <c r="L287" s="1">
        <v>43369</v>
      </c>
      <c r="M287" s="2">
        <v>136413</v>
      </c>
      <c r="N287" s="2" t="s">
        <v>2949</v>
      </c>
      <c r="O287" t="s">
        <v>216</v>
      </c>
      <c r="P287" t="s">
        <v>152</v>
      </c>
      <c r="Q287" t="s">
        <v>79</v>
      </c>
      <c r="R287">
        <v>7.6</v>
      </c>
      <c r="S287" t="s">
        <v>2953</v>
      </c>
    </row>
    <row r="288" spans="1:19" x14ac:dyDescent="0.3">
      <c r="A288" t="s">
        <v>864</v>
      </c>
      <c r="B288" t="s">
        <v>127</v>
      </c>
      <c r="C288" t="s">
        <v>362</v>
      </c>
      <c r="D288" t="s">
        <v>24</v>
      </c>
      <c r="E288">
        <v>44</v>
      </c>
      <c r="F288" t="s">
        <v>2946</v>
      </c>
      <c r="G288" t="s">
        <v>2438</v>
      </c>
      <c r="H288" t="s">
        <v>2603</v>
      </c>
      <c r="I288" t="s">
        <v>592</v>
      </c>
      <c r="J288" t="s">
        <v>859</v>
      </c>
      <c r="K288" t="s">
        <v>35</v>
      </c>
      <c r="L288" s="1">
        <v>44192</v>
      </c>
      <c r="M288" s="2">
        <v>155137</v>
      </c>
      <c r="N288" s="2" t="s">
        <v>2949</v>
      </c>
      <c r="O288" t="s">
        <v>253</v>
      </c>
      <c r="P288" t="s">
        <v>21</v>
      </c>
      <c r="Q288" t="s">
        <v>79</v>
      </c>
      <c r="R288">
        <v>5.4</v>
      </c>
      <c r="S288" t="s">
        <v>2953</v>
      </c>
    </row>
    <row r="289" spans="1:19" x14ac:dyDescent="0.3">
      <c r="A289" t="s">
        <v>867</v>
      </c>
      <c r="B289" t="s">
        <v>85</v>
      </c>
      <c r="C289" t="s">
        <v>229</v>
      </c>
      <c r="D289" t="s">
        <v>24</v>
      </c>
      <c r="E289">
        <v>42</v>
      </c>
      <c r="F289" t="s">
        <v>2946</v>
      </c>
      <c r="G289" t="s">
        <v>861</v>
      </c>
      <c r="H289" t="s">
        <v>2604</v>
      </c>
      <c r="I289" t="s">
        <v>592</v>
      </c>
      <c r="J289" t="s">
        <v>290</v>
      </c>
      <c r="K289" t="s">
        <v>48</v>
      </c>
      <c r="L289" s="1">
        <v>42055</v>
      </c>
      <c r="M289" s="2">
        <v>248698</v>
      </c>
      <c r="N289" s="2" t="s">
        <v>2948</v>
      </c>
      <c r="O289" t="s">
        <v>216</v>
      </c>
      <c r="P289" t="s">
        <v>90</v>
      </c>
      <c r="Q289" t="s">
        <v>244</v>
      </c>
      <c r="R289">
        <v>11.2</v>
      </c>
      <c r="S289" t="s">
        <v>2951</v>
      </c>
    </row>
    <row r="290" spans="1:19" x14ac:dyDescent="0.3">
      <c r="A290" t="s">
        <v>870</v>
      </c>
      <c r="B290" t="s">
        <v>347</v>
      </c>
      <c r="C290" t="s">
        <v>31</v>
      </c>
      <c r="D290" t="s">
        <v>24</v>
      </c>
      <c r="E290">
        <v>45</v>
      </c>
      <c r="F290" t="s">
        <v>2946</v>
      </c>
      <c r="G290" t="s">
        <v>863</v>
      </c>
      <c r="H290" t="s">
        <v>2605</v>
      </c>
      <c r="I290" t="s">
        <v>517</v>
      </c>
      <c r="J290" t="s">
        <v>433</v>
      </c>
      <c r="K290" t="s">
        <v>35</v>
      </c>
      <c r="L290" s="1">
        <v>44459</v>
      </c>
      <c r="M290" s="2">
        <v>799729</v>
      </c>
      <c r="N290" s="2" t="s">
        <v>2950</v>
      </c>
      <c r="O290" t="s">
        <v>111</v>
      </c>
      <c r="P290" t="s">
        <v>353</v>
      </c>
      <c r="Q290" t="s">
        <v>244</v>
      </c>
      <c r="R290">
        <v>4.5999999999999996</v>
      </c>
      <c r="S290" t="s">
        <v>2952</v>
      </c>
    </row>
    <row r="291" spans="1:19" x14ac:dyDescent="0.3">
      <c r="A291" t="s">
        <v>872</v>
      </c>
      <c r="B291" t="s">
        <v>85</v>
      </c>
      <c r="C291" t="s">
        <v>273</v>
      </c>
      <c r="D291" t="s">
        <v>45</v>
      </c>
      <c r="E291">
        <v>41</v>
      </c>
      <c r="F291" t="s">
        <v>2946</v>
      </c>
      <c r="G291" t="s">
        <v>865</v>
      </c>
      <c r="H291" t="s">
        <v>2369</v>
      </c>
      <c r="I291" t="s">
        <v>53</v>
      </c>
      <c r="J291" t="s">
        <v>866</v>
      </c>
      <c r="K291" t="s">
        <v>28</v>
      </c>
      <c r="L291" s="1">
        <v>43388</v>
      </c>
      <c r="M291" s="2">
        <v>747671</v>
      </c>
      <c r="N291" s="2" t="s">
        <v>2950</v>
      </c>
      <c r="O291" t="s">
        <v>253</v>
      </c>
      <c r="P291" t="s">
        <v>205</v>
      </c>
      <c r="Q291" t="s">
        <v>72</v>
      </c>
      <c r="R291">
        <v>7.6</v>
      </c>
      <c r="S291" t="s">
        <v>2953</v>
      </c>
    </row>
    <row r="292" spans="1:19" x14ac:dyDescent="0.3">
      <c r="A292" t="s">
        <v>874</v>
      </c>
      <c r="B292" t="s">
        <v>17</v>
      </c>
      <c r="C292" t="s">
        <v>141</v>
      </c>
      <c r="D292" t="s">
        <v>24</v>
      </c>
      <c r="E292">
        <v>42</v>
      </c>
      <c r="F292" t="s">
        <v>2946</v>
      </c>
      <c r="G292" t="s">
        <v>868</v>
      </c>
      <c r="H292" t="s">
        <v>869</v>
      </c>
      <c r="I292" t="s">
        <v>271</v>
      </c>
      <c r="J292" t="s">
        <v>785</v>
      </c>
      <c r="K292" t="s">
        <v>48</v>
      </c>
      <c r="L292" s="1">
        <v>42079</v>
      </c>
      <c r="M292" s="2">
        <v>823449</v>
      </c>
      <c r="N292" s="2" t="s">
        <v>2950</v>
      </c>
      <c r="O292" t="s">
        <v>41</v>
      </c>
      <c r="P292" t="s">
        <v>152</v>
      </c>
      <c r="Q292" t="s">
        <v>72</v>
      </c>
      <c r="R292">
        <v>11.2</v>
      </c>
      <c r="S292" t="s">
        <v>2951</v>
      </c>
    </row>
    <row r="293" spans="1:19" x14ac:dyDescent="0.3">
      <c r="A293" t="s">
        <v>876</v>
      </c>
      <c r="B293" t="s">
        <v>190</v>
      </c>
      <c r="C293" t="s">
        <v>183</v>
      </c>
      <c r="D293" t="s">
        <v>45</v>
      </c>
      <c r="E293">
        <v>58</v>
      </c>
      <c r="F293" t="s">
        <v>2947</v>
      </c>
      <c r="G293" t="s">
        <v>871</v>
      </c>
      <c r="H293" t="s">
        <v>2606</v>
      </c>
      <c r="I293" t="s">
        <v>209</v>
      </c>
      <c r="J293" t="s">
        <v>210</v>
      </c>
      <c r="K293" t="s">
        <v>71</v>
      </c>
      <c r="L293" s="1">
        <v>44561</v>
      </c>
      <c r="M293" s="2">
        <v>448706</v>
      </c>
      <c r="N293" s="2" t="s">
        <v>2948</v>
      </c>
      <c r="O293" t="s">
        <v>198</v>
      </c>
      <c r="P293" t="s">
        <v>353</v>
      </c>
      <c r="Q293" t="s">
        <v>158</v>
      </c>
      <c r="R293">
        <v>4.4000000000000004</v>
      </c>
      <c r="S293" t="s">
        <v>2952</v>
      </c>
    </row>
    <row r="294" spans="1:19" x14ac:dyDescent="0.3">
      <c r="A294" t="s">
        <v>877</v>
      </c>
      <c r="B294" t="s">
        <v>44</v>
      </c>
      <c r="C294" t="s">
        <v>31</v>
      </c>
      <c r="D294" t="s">
        <v>45</v>
      </c>
      <c r="F294" t="s">
        <v>2369</v>
      </c>
      <c r="G294" t="s">
        <v>873</v>
      </c>
      <c r="H294" t="s">
        <v>2369</v>
      </c>
      <c r="I294" t="s">
        <v>517</v>
      </c>
      <c r="J294" t="s">
        <v>239</v>
      </c>
      <c r="K294" t="s">
        <v>48</v>
      </c>
      <c r="L294" s="1">
        <v>43845</v>
      </c>
      <c r="M294" s="2">
        <v>244592</v>
      </c>
      <c r="N294" s="2" t="s">
        <v>2948</v>
      </c>
      <c r="O294" t="s">
        <v>253</v>
      </c>
      <c r="P294" t="s">
        <v>90</v>
      </c>
      <c r="Q294" t="s">
        <v>244</v>
      </c>
      <c r="R294">
        <v>6.3</v>
      </c>
      <c r="S294" t="s">
        <v>2953</v>
      </c>
    </row>
    <row r="295" spans="1:19" x14ac:dyDescent="0.3">
      <c r="A295" t="s">
        <v>878</v>
      </c>
      <c r="B295" t="s">
        <v>37</v>
      </c>
      <c r="C295" t="s">
        <v>146</v>
      </c>
      <c r="D295" t="s">
        <v>24</v>
      </c>
      <c r="E295">
        <v>23</v>
      </c>
      <c r="F295" t="s">
        <v>2945</v>
      </c>
      <c r="G295" t="s">
        <v>875</v>
      </c>
      <c r="H295" t="s">
        <v>2607</v>
      </c>
      <c r="I295" t="s">
        <v>235</v>
      </c>
      <c r="J295" t="s">
        <v>528</v>
      </c>
      <c r="K295" t="s">
        <v>48</v>
      </c>
      <c r="L295" s="1">
        <v>43205</v>
      </c>
      <c r="M295" s="2">
        <v>147961</v>
      </c>
      <c r="N295" s="2" t="s">
        <v>2949</v>
      </c>
      <c r="O295" t="s">
        <v>41</v>
      </c>
      <c r="P295" t="s">
        <v>353</v>
      </c>
      <c r="Q295" t="s">
        <v>244</v>
      </c>
      <c r="R295">
        <v>8.1</v>
      </c>
      <c r="S295" t="s">
        <v>2951</v>
      </c>
    </row>
    <row r="296" spans="1:19" x14ac:dyDescent="0.3">
      <c r="A296" t="s">
        <v>881</v>
      </c>
      <c r="B296" t="s">
        <v>207</v>
      </c>
      <c r="C296" t="s">
        <v>213</v>
      </c>
      <c r="D296" t="s">
        <v>45</v>
      </c>
      <c r="E296">
        <v>50</v>
      </c>
      <c r="F296" t="s">
        <v>2947</v>
      </c>
      <c r="G296" t="s">
        <v>2369</v>
      </c>
      <c r="H296" t="s">
        <v>2608</v>
      </c>
      <c r="I296" t="s">
        <v>485</v>
      </c>
      <c r="J296" t="s">
        <v>179</v>
      </c>
      <c r="K296" t="s">
        <v>71</v>
      </c>
      <c r="L296" s="1">
        <v>44100</v>
      </c>
      <c r="M296" s="2">
        <v>739835</v>
      </c>
      <c r="N296" s="2" t="s">
        <v>2950</v>
      </c>
      <c r="O296" t="s">
        <v>111</v>
      </c>
      <c r="P296" t="s">
        <v>152</v>
      </c>
      <c r="Q296" t="s">
        <v>65</v>
      </c>
      <c r="R296">
        <v>5.6</v>
      </c>
      <c r="S296" t="s">
        <v>2953</v>
      </c>
    </row>
    <row r="297" spans="1:19" x14ac:dyDescent="0.3">
      <c r="A297" t="s">
        <v>884</v>
      </c>
      <c r="B297" t="s">
        <v>148</v>
      </c>
      <c r="C297" t="s">
        <v>82</v>
      </c>
      <c r="D297" t="s">
        <v>45</v>
      </c>
      <c r="E297">
        <v>40</v>
      </c>
      <c r="F297" t="s">
        <v>2946</v>
      </c>
      <c r="G297" t="s">
        <v>2378</v>
      </c>
      <c r="H297" t="s">
        <v>2609</v>
      </c>
      <c r="I297" t="s">
        <v>394</v>
      </c>
      <c r="J297" t="s">
        <v>332</v>
      </c>
      <c r="K297" t="s">
        <v>28</v>
      </c>
      <c r="L297" s="1">
        <v>43806</v>
      </c>
      <c r="M297" s="2">
        <v>785983</v>
      </c>
      <c r="N297" s="2" t="s">
        <v>2950</v>
      </c>
      <c r="O297" t="s">
        <v>111</v>
      </c>
      <c r="P297" t="s">
        <v>90</v>
      </c>
      <c r="Q297" t="s">
        <v>65</v>
      </c>
      <c r="R297">
        <v>6.4</v>
      </c>
      <c r="S297" t="s">
        <v>2953</v>
      </c>
    </row>
    <row r="298" spans="1:19" x14ac:dyDescent="0.3">
      <c r="A298" t="s">
        <v>886</v>
      </c>
      <c r="B298" t="s">
        <v>269</v>
      </c>
      <c r="C298" t="s">
        <v>93</v>
      </c>
      <c r="D298" t="s">
        <v>24</v>
      </c>
      <c r="E298">
        <v>29</v>
      </c>
      <c r="F298" t="s">
        <v>2945</v>
      </c>
      <c r="G298" t="s">
        <v>879</v>
      </c>
      <c r="H298" t="s">
        <v>2369</v>
      </c>
      <c r="I298" t="s">
        <v>235</v>
      </c>
      <c r="J298" t="s">
        <v>880</v>
      </c>
      <c r="K298" t="s">
        <v>71</v>
      </c>
      <c r="M298" s="2">
        <v>895807</v>
      </c>
      <c r="N298" s="2" t="s">
        <v>2950</v>
      </c>
      <c r="O298" t="s">
        <v>253</v>
      </c>
      <c r="P298" t="s">
        <v>353</v>
      </c>
      <c r="Q298" t="s">
        <v>65</v>
      </c>
      <c r="R298">
        <v>4.5</v>
      </c>
      <c r="S298" t="s">
        <v>2952</v>
      </c>
    </row>
    <row r="299" spans="1:19" x14ac:dyDescent="0.3">
      <c r="A299" t="s">
        <v>888</v>
      </c>
      <c r="B299" t="s">
        <v>97</v>
      </c>
      <c r="C299" t="s">
        <v>237</v>
      </c>
      <c r="D299" t="s">
        <v>24</v>
      </c>
      <c r="E299">
        <v>52</v>
      </c>
      <c r="F299" t="s">
        <v>2947</v>
      </c>
      <c r="G299" t="s">
        <v>882</v>
      </c>
      <c r="H299" t="s">
        <v>2369</v>
      </c>
      <c r="I299" t="s">
        <v>394</v>
      </c>
      <c r="J299" t="s">
        <v>883</v>
      </c>
      <c r="K299" t="s">
        <v>48</v>
      </c>
      <c r="L299" s="1">
        <v>42937</v>
      </c>
      <c r="M299" s="2">
        <v>335790</v>
      </c>
      <c r="N299" s="2" t="s">
        <v>2948</v>
      </c>
      <c r="O299" t="s">
        <v>216</v>
      </c>
      <c r="P299" t="s">
        <v>152</v>
      </c>
      <c r="Q299" t="s">
        <v>72</v>
      </c>
      <c r="R299">
        <v>8.8000000000000007</v>
      </c>
      <c r="S299" t="s">
        <v>2951</v>
      </c>
    </row>
    <row r="300" spans="1:19" x14ac:dyDescent="0.3">
      <c r="A300" t="s">
        <v>890</v>
      </c>
      <c r="B300" t="s">
        <v>137</v>
      </c>
      <c r="C300" t="s">
        <v>44</v>
      </c>
      <c r="D300" t="s">
        <v>45</v>
      </c>
      <c r="E300">
        <v>50</v>
      </c>
      <c r="F300" t="s">
        <v>2947</v>
      </c>
      <c r="G300" t="s">
        <v>885</v>
      </c>
      <c r="H300" t="s">
        <v>2610</v>
      </c>
      <c r="I300" t="s">
        <v>394</v>
      </c>
      <c r="J300" t="s">
        <v>84</v>
      </c>
      <c r="K300" t="s">
        <v>71</v>
      </c>
      <c r="M300" s="2">
        <v>403804</v>
      </c>
      <c r="N300" s="2" t="s">
        <v>2948</v>
      </c>
      <c r="O300" t="s">
        <v>253</v>
      </c>
      <c r="P300" t="s">
        <v>205</v>
      </c>
      <c r="Q300" t="s">
        <v>65</v>
      </c>
      <c r="R300">
        <v>5.7</v>
      </c>
      <c r="S300" t="s">
        <v>2953</v>
      </c>
    </row>
    <row r="301" spans="1:19" x14ac:dyDescent="0.3">
      <c r="A301" t="s">
        <v>892</v>
      </c>
      <c r="B301" t="s">
        <v>233</v>
      </c>
      <c r="C301" t="s">
        <v>146</v>
      </c>
      <c r="D301" t="s">
        <v>24</v>
      </c>
      <c r="E301">
        <v>36</v>
      </c>
      <c r="F301" t="s">
        <v>2946</v>
      </c>
      <c r="G301" t="s">
        <v>887</v>
      </c>
      <c r="H301" t="s">
        <v>2369</v>
      </c>
      <c r="I301" t="s">
        <v>209</v>
      </c>
      <c r="J301" t="s">
        <v>589</v>
      </c>
      <c r="K301" t="s">
        <v>71</v>
      </c>
      <c r="L301" s="1">
        <v>44980</v>
      </c>
      <c r="M301" s="2">
        <v>362468</v>
      </c>
      <c r="N301" s="2" t="s">
        <v>2948</v>
      </c>
      <c r="O301" t="s">
        <v>111</v>
      </c>
      <c r="P301" t="s">
        <v>353</v>
      </c>
      <c r="Q301" t="s">
        <v>72</v>
      </c>
      <c r="R301">
        <v>3.2</v>
      </c>
      <c r="S301" t="s">
        <v>2952</v>
      </c>
    </row>
    <row r="302" spans="1:19" x14ac:dyDescent="0.3">
      <c r="A302" t="s">
        <v>894</v>
      </c>
      <c r="B302" t="s">
        <v>326</v>
      </c>
      <c r="C302" t="s">
        <v>62</v>
      </c>
      <c r="D302" t="s">
        <v>24</v>
      </c>
      <c r="E302">
        <v>52</v>
      </c>
      <c r="F302" t="s">
        <v>2947</v>
      </c>
      <c r="G302" t="s">
        <v>889</v>
      </c>
      <c r="H302" t="s">
        <v>2611</v>
      </c>
      <c r="I302" t="s">
        <v>271</v>
      </c>
      <c r="J302" t="s">
        <v>143</v>
      </c>
      <c r="K302" t="s">
        <v>71</v>
      </c>
      <c r="L302" s="1">
        <v>43338</v>
      </c>
      <c r="M302" s="2">
        <v>837962</v>
      </c>
      <c r="N302" s="2" t="s">
        <v>2950</v>
      </c>
      <c r="O302" t="s">
        <v>41</v>
      </c>
      <c r="P302" t="s">
        <v>205</v>
      </c>
      <c r="Q302" t="s">
        <v>79</v>
      </c>
      <c r="R302">
        <v>7.7</v>
      </c>
      <c r="S302" t="s">
        <v>2953</v>
      </c>
    </row>
    <row r="303" spans="1:19" x14ac:dyDescent="0.3">
      <c r="A303" t="s">
        <v>896</v>
      </c>
      <c r="B303" t="s">
        <v>97</v>
      </c>
      <c r="C303" t="s">
        <v>57</v>
      </c>
      <c r="D303" t="s">
        <v>24</v>
      </c>
      <c r="E303">
        <v>35</v>
      </c>
      <c r="F303" t="s">
        <v>2946</v>
      </c>
      <c r="G303" t="s">
        <v>891</v>
      </c>
      <c r="H303" t="s">
        <v>2612</v>
      </c>
      <c r="I303" t="s">
        <v>485</v>
      </c>
      <c r="J303" t="s">
        <v>262</v>
      </c>
      <c r="K303" t="s">
        <v>71</v>
      </c>
      <c r="L303" s="1">
        <v>43831</v>
      </c>
      <c r="M303" s="2">
        <v>863572</v>
      </c>
      <c r="N303" s="2" t="s">
        <v>2950</v>
      </c>
      <c r="O303" t="s">
        <v>216</v>
      </c>
      <c r="P303" t="s">
        <v>90</v>
      </c>
      <c r="Q303" t="s">
        <v>158</v>
      </c>
      <c r="R303">
        <v>6.4</v>
      </c>
      <c r="S303" t="s">
        <v>2953</v>
      </c>
    </row>
    <row r="304" spans="1:19" x14ac:dyDescent="0.3">
      <c r="A304" t="s">
        <v>898</v>
      </c>
      <c r="B304" t="s">
        <v>212</v>
      </c>
      <c r="C304" t="s">
        <v>98</v>
      </c>
      <c r="D304" t="s">
        <v>24</v>
      </c>
      <c r="E304">
        <v>49</v>
      </c>
      <c r="F304" t="s">
        <v>2947</v>
      </c>
      <c r="G304" t="s">
        <v>893</v>
      </c>
      <c r="H304" t="s">
        <v>2369</v>
      </c>
      <c r="I304" t="s">
        <v>209</v>
      </c>
      <c r="J304" t="s">
        <v>578</v>
      </c>
      <c r="K304" t="s">
        <v>71</v>
      </c>
      <c r="M304" s="2">
        <v>884378</v>
      </c>
      <c r="N304" s="2" t="s">
        <v>2950</v>
      </c>
      <c r="O304" t="s">
        <v>253</v>
      </c>
      <c r="P304" t="s">
        <v>21</v>
      </c>
      <c r="Q304" t="s">
        <v>72</v>
      </c>
      <c r="R304">
        <v>10.5</v>
      </c>
      <c r="S304" t="s">
        <v>2951</v>
      </c>
    </row>
    <row r="305" spans="1:19" x14ac:dyDescent="0.3">
      <c r="A305" t="s">
        <v>900</v>
      </c>
      <c r="B305" t="s">
        <v>190</v>
      </c>
      <c r="C305" t="s">
        <v>114</v>
      </c>
      <c r="D305" t="s">
        <v>24</v>
      </c>
      <c r="E305">
        <v>44</v>
      </c>
      <c r="F305" t="s">
        <v>2946</v>
      </c>
      <c r="G305" t="s">
        <v>895</v>
      </c>
      <c r="H305" t="s">
        <v>2613</v>
      </c>
      <c r="I305" t="s">
        <v>209</v>
      </c>
      <c r="J305" t="s">
        <v>78</v>
      </c>
      <c r="K305" t="s">
        <v>71</v>
      </c>
      <c r="L305" s="1">
        <v>42526</v>
      </c>
      <c r="M305" s="2">
        <v>646310</v>
      </c>
      <c r="N305" s="2" t="s">
        <v>2950</v>
      </c>
      <c r="O305" t="s">
        <v>111</v>
      </c>
      <c r="P305" t="s">
        <v>21</v>
      </c>
      <c r="Q305" t="s">
        <v>158</v>
      </c>
      <c r="R305">
        <v>9.9</v>
      </c>
      <c r="S305" t="s">
        <v>2951</v>
      </c>
    </row>
    <row r="306" spans="1:19" x14ac:dyDescent="0.3">
      <c r="A306" t="s">
        <v>902</v>
      </c>
      <c r="B306" t="s">
        <v>348</v>
      </c>
      <c r="C306" t="s">
        <v>336</v>
      </c>
      <c r="D306" t="s">
        <v>24</v>
      </c>
      <c r="E306">
        <v>35</v>
      </c>
      <c r="F306" t="s">
        <v>2946</v>
      </c>
      <c r="G306" t="s">
        <v>897</v>
      </c>
      <c r="H306" t="s">
        <v>2614</v>
      </c>
      <c r="I306" t="s">
        <v>485</v>
      </c>
      <c r="J306" t="s">
        <v>262</v>
      </c>
      <c r="K306" t="s">
        <v>28</v>
      </c>
      <c r="L306" s="1">
        <v>43705</v>
      </c>
      <c r="N306" s="2" t="s">
        <v>2369</v>
      </c>
      <c r="O306" t="s">
        <v>111</v>
      </c>
      <c r="P306" t="s">
        <v>205</v>
      </c>
      <c r="Q306" t="s">
        <v>65</v>
      </c>
      <c r="R306">
        <v>6.7</v>
      </c>
      <c r="S306" t="s">
        <v>2953</v>
      </c>
    </row>
    <row r="307" spans="1:19" x14ac:dyDescent="0.3">
      <c r="A307" t="s">
        <v>904</v>
      </c>
      <c r="B307" t="s">
        <v>160</v>
      </c>
      <c r="C307" t="s">
        <v>108</v>
      </c>
      <c r="D307" t="s">
        <v>24</v>
      </c>
      <c r="F307" t="s">
        <v>2369</v>
      </c>
      <c r="G307" t="s">
        <v>899</v>
      </c>
      <c r="H307" t="s">
        <v>2615</v>
      </c>
      <c r="I307" t="s">
        <v>394</v>
      </c>
      <c r="J307" t="s">
        <v>672</v>
      </c>
      <c r="K307" t="s">
        <v>71</v>
      </c>
      <c r="L307" s="1">
        <v>43704</v>
      </c>
      <c r="M307" s="2">
        <v>245132</v>
      </c>
      <c r="N307" s="2" t="s">
        <v>2948</v>
      </c>
      <c r="O307" t="s">
        <v>41</v>
      </c>
      <c r="P307" t="s">
        <v>152</v>
      </c>
      <c r="Q307" t="s">
        <v>158</v>
      </c>
      <c r="R307">
        <v>6.7</v>
      </c>
      <c r="S307" t="s">
        <v>2953</v>
      </c>
    </row>
    <row r="308" spans="1:19" x14ac:dyDescent="0.3">
      <c r="A308" t="s">
        <v>906</v>
      </c>
      <c r="B308" t="s">
        <v>97</v>
      </c>
      <c r="C308" t="s">
        <v>336</v>
      </c>
      <c r="D308" t="s">
        <v>24</v>
      </c>
      <c r="E308">
        <v>30</v>
      </c>
      <c r="F308" t="s">
        <v>2945</v>
      </c>
      <c r="G308" t="s">
        <v>901</v>
      </c>
      <c r="H308" t="s">
        <v>2616</v>
      </c>
      <c r="I308" t="s">
        <v>368</v>
      </c>
      <c r="J308" t="s">
        <v>796</v>
      </c>
      <c r="K308" t="s">
        <v>35</v>
      </c>
      <c r="L308" s="1">
        <v>43928</v>
      </c>
      <c r="M308" s="2">
        <v>349338</v>
      </c>
      <c r="N308" s="2" t="s">
        <v>2948</v>
      </c>
      <c r="O308" t="s">
        <v>216</v>
      </c>
      <c r="P308" t="s">
        <v>152</v>
      </c>
      <c r="Q308" t="s">
        <v>72</v>
      </c>
      <c r="R308">
        <v>6.1</v>
      </c>
      <c r="S308" t="s">
        <v>2953</v>
      </c>
    </row>
    <row r="309" spans="1:19" x14ac:dyDescent="0.3">
      <c r="A309" t="s">
        <v>908</v>
      </c>
      <c r="B309" t="s">
        <v>113</v>
      </c>
      <c r="C309" t="s">
        <v>273</v>
      </c>
      <c r="D309" t="s">
        <v>45</v>
      </c>
      <c r="E309">
        <v>24</v>
      </c>
      <c r="F309" t="s">
        <v>2945</v>
      </c>
      <c r="G309" t="s">
        <v>903</v>
      </c>
      <c r="H309" t="s">
        <v>2617</v>
      </c>
      <c r="I309" t="s">
        <v>368</v>
      </c>
      <c r="J309" t="s">
        <v>267</v>
      </c>
      <c r="K309" t="s">
        <v>48</v>
      </c>
      <c r="M309" s="2">
        <v>229898</v>
      </c>
      <c r="N309" s="2" t="s">
        <v>2948</v>
      </c>
      <c r="O309" t="s">
        <v>216</v>
      </c>
      <c r="P309" t="s">
        <v>90</v>
      </c>
      <c r="Q309" t="s">
        <v>244</v>
      </c>
      <c r="R309">
        <v>11.2</v>
      </c>
      <c r="S309" t="s">
        <v>2951</v>
      </c>
    </row>
    <row r="310" spans="1:19" x14ac:dyDescent="0.3">
      <c r="A310" t="s">
        <v>910</v>
      </c>
      <c r="B310" t="s">
        <v>412</v>
      </c>
      <c r="C310" t="s">
        <v>18</v>
      </c>
      <c r="D310" t="s">
        <v>45</v>
      </c>
      <c r="E310">
        <v>50</v>
      </c>
      <c r="F310" t="s">
        <v>2947</v>
      </c>
      <c r="G310" t="s">
        <v>905</v>
      </c>
      <c r="H310" t="s">
        <v>2618</v>
      </c>
      <c r="I310" t="s">
        <v>271</v>
      </c>
      <c r="J310" t="s">
        <v>143</v>
      </c>
      <c r="K310" t="s">
        <v>71</v>
      </c>
      <c r="L310" s="1">
        <v>43428</v>
      </c>
      <c r="M310" s="2">
        <v>401944</v>
      </c>
      <c r="N310" s="2" t="s">
        <v>2948</v>
      </c>
      <c r="O310" t="s">
        <v>130</v>
      </c>
      <c r="P310" t="s">
        <v>353</v>
      </c>
      <c r="Q310" t="s">
        <v>65</v>
      </c>
      <c r="R310">
        <v>7.5</v>
      </c>
      <c r="S310" t="s">
        <v>2953</v>
      </c>
    </row>
    <row r="311" spans="1:19" x14ac:dyDescent="0.3">
      <c r="A311" t="s">
        <v>912</v>
      </c>
      <c r="B311" t="s">
        <v>359</v>
      </c>
      <c r="C311" t="s">
        <v>249</v>
      </c>
      <c r="D311" t="s">
        <v>45</v>
      </c>
      <c r="E311">
        <v>52</v>
      </c>
      <c r="F311" t="s">
        <v>2947</v>
      </c>
      <c r="G311" t="s">
        <v>907</v>
      </c>
      <c r="H311" t="s">
        <v>2619</v>
      </c>
      <c r="I311" t="s">
        <v>394</v>
      </c>
      <c r="J311" t="s">
        <v>410</v>
      </c>
      <c r="K311" t="s">
        <v>71</v>
      </c>
      <c r="L311" s="1">
        <v>44142</v>
      </c>
      <c r="M311" s="2">
        <v>521727</v>
      </c>
      <c r="N311" s="2" t="s">
        <v>2950</v>
      </c>
      <c r="O311" t="s">
        <v>111</v>
      </c>
      <c r="P311" t="s">
        <v>90</v>
      </c>
      <c r="Q311" t="s">
        <v>72</v>
      </c>
      <c r="R311">
        <v>5.5</v>
      </c>
      <c r="S311" t="s">
        <v>2953</v>
      </c>
    </row>
    <row r="312" spans="1:19" x14ac:dyDescent="0.3">
      <c r="A312" t="s">
        <v>914</v>
      </c>
      <c r="B312" t="s">
        <v>67</v>
      </c>
      <c r="C312" t="s">
        <v>318</v>
      </c>
      <c r="D312" t="s">
        <v>24</v>
      </c>
      <c r="E312">
        <v>41</v>
      </c>
      <c r="F312" t="s">
        <v>2946</v>
      </c>
      <c r="G312" t="s">
        <v>909</v>
      </c>
      <c r="H312" t="s">
        <v>2369</v>
      </c>
      <c r="I312" t="s">
        <v>485</v>
      </c>
      <c r="J312" t="s">
        <v>185</v>
      </c>
      <c r="K312" t="s">
        <v>71</v>
      </c>
      <c r="L312" s="1">
        <v>42485</v>
      </c>
      <c r="M312" s="2">
        <v>625909</v>
      </c>
      <c r="N312" s="2" t="s">
        <v>2950</v>
      </c>
      <c r="O312" t="s">
        <v>216</v>
      </c>
      <c r="P312" t="s">
        <v>152</v>
      </c>
      <c r="Q312" t="s">
        <v>244</v>
      </c>
      <c r="R312">
        <v>10.1</v>
      </c>
      <c r="S312" t="s">
        <v>2951</v>
      </c>
    </row>
    <row r="313" spans="1:19" x14ac:dyDescent="0.3">
      <c r="A313" t="s">
        <v>915</v>
      </c>
      <c r="B313" t="s">
        <v>281</v>
      </c>
      <c r="C313" t="s">
        <v>264</v>
      </c>
      <c r="D313" t="s">
        <v>24</v>
      </c>
      <c r="E313">
        <v>39</v>
      </c>
      <c r="F313" t="s">
        <v>2946</v>
      </c>
      <c r="G313" t="s">
        <v>911</v>
      </c>
      <c r="H313" t="s">
        <v>2620</v>
      </c>
      <c r="I313" t="s">
        <v>271</v>
      </c>
      <c r="J313" t="s">
        <v>40</v>
      </c>
      <c r="K313" t="s">
        <v>48</v>
      </c>
      <c r="L313" s="1">
        <v>44970</v>
      </c>
      <c r="M313" s="2">
        <v>848021</v>
      </c>
      <c r="N313" s="2" t="s">
        <v>2950</v>
      </c>
      <c r="O313" t="s">
        <v>253</v>
      </c>
      <c r="P313" t="s">
        <v>205</v>
      </c>
      <c r="Q313" t="s">
        <v>158</v>
      </c>
      <c r="R313">
        <v>3.2</v>
      </c>
      <c r="S313" t="s">
        <v>2952</v>
      </c>
    </row>
    <row r="314" spans="1:19" x14ac:dyDescent="0.3">
      <c r="A314" t="s">
        <v>917</v>
      </c>
      <c r="B314" t="s">
        <v>44</v>
      </c>
      <c r="C314" t="s">
        <v>213</v>
      </c>
      <c r="D314" t="s">
        <v>45</v>
      </c>
      <c r="E314">
        <v>58</v>
      </c>
      <c r="F314" t="s">
        <v>2947</v>
      </c>
      <c r="G314" t="s">
        <v>913</v>
      </c>
      <c r="H314" t="s">
        <v>2621</v>
      </c>
      <c r="I314" t="s">
        <v>485</v>
      </c>
      <c r="J314" t="s">
        <v>613</v>
      </c>
      <c r="K314" t="s">
        <v>71</v>
      </c>
      <c r="L314" s="1">
        <v>43808</v>
      </c>
      <c r="M314" s="2">
        <v>563124</v>
      </c>
      <c r="N314" s="2" t="s">
        <v>2950</v>
      </c>
      <c r="O314" t="s">
        <v>253</v>
      </c>
      <c r="P314" t="s">
        <v>152</v>
      </c>
      <c r="Q314" t="s">
        <v>244</v>
      </c>
      <c r="R314">
        <v>6.4</v>
      </c>
      <c r="S314" t="s">
        <v>2953</v>
      </c>
    </row>
    <row r="315" spans="1:19" x14ac:dyDescent="0.3">
      <c r="A315" t="s">
        <v>919</v>
      </c>
      <c r="B315" t="s">
        <v>348</v>
      </c>
      <c r="C315" t="s">
        <v>327</v>
      </c>
      <c r="D315" t="s">
        <v>24</v>
      </c>
      <c r="E315">
        <v>36</v>
      </c>
      <c r="F315" t="s">
        <v>2946</v>
      </c>
      <c r="G315" t="s">
        <v>2369</v>
      </c>
      <c r="H315" t="s">
        <v>2369</v>
      </c>
      <c r="I315" t="s">
        <v>485</v>
      </c>
      <c r="J315" t="s">
        <v>257</v>
      </c>
      <c r="K315" t="s">
        <v>35</v>
      </c>
      <c r="L315" s="1">
        <v>44209</v>
      </c>
      <c r="M315" s="2">
        <v>855798</v>
      </c>
      <c r="N315" s="2" t="s">
        <v>2950</v>
      </c>
      <c r="O315" t="s">
        <v>111</v>
      </c>
      <c r="P315" t="s">
        <v>90</v>
      </c>
      <c r="Q315" t="s">
        <v>158</v>
      </c>
      <c r="R315">
        <v>5.3</v>
      </c>
      <c r="S315" t="s">
        <v>2953</v>
      </c>
    </row>
    <row r="316" spans="1:19" x14ac:dyDescent="0.3">
      <c r="A316" t="s">
        <v>921</v>
      </c>
      <c r="B316" t="s">
        <v>259</v>
      </c>
      <c r="C316" t="s">
        <v>114</v>
      </c>
      <c r="D316" t="s">
        <v>45</v>
      </c>
      <c r="E316">
        <v>40</v>
      </c>
      <c r="F316" t="s">
        <v>2946</v>
      </c>
      <c r="G316" t="s">
        <v>916</v>
      </c>
      <c r="H316" t="s">
        <v>2622</v>
      </c>
      <c r="I316" t="s">
        <v>485</v>
      </c>
      <c r="J316" t="s">
        <v>486</v>
      </c>
      <c r="K316" t="s">
        <v>35</v>
      </c>
      <c r="L316" s="1">
        <v>43582</v>
      </c>
      <c r="M316" s="2">
        <v>188659</v>
      </c>
      <c r="N316" s="2" t="s">
        <v>2949</v>
      </c>
      <c r="O316" t="s">
        <v>41</v>
      </c>
      <c r="P316" t="s">
        <v>21</v>
      </c>
      <c r="Q316" t="s">
        <v>65</v>
      </c>
      <c r="R316">
        <v>7</v>
      </c>
      <c r="S316" t="s">
        <v>2953</v>
      </c>
    </row>
    <row r="317" spans="1:19" x14ac:dyDescent="0.3">
      <c r="A317" t="s">
        <v>923</v>
      </c>
      <c r="B317" t="s">
        <v>297</v>
      </c>
      <c r="C317" t="s">
        <v>149</v>
      </c>
      <c r="D317" t="s">
        <v>45</v>
      </c>
      <c r="E317">
        <v>56</v>
      </c>
      <c r="F317" t="s">
        <v>2947</v>
      </c>
      <c r="G317" t="s">
        <v>918</v>
      </c>
      <c r="H317" t="s">
        <v>2623</v>
      </c>
      <c r="I317" t="s">
        <v>592</v>
      </c>
      <c r="J317" t="s">
        <v>157</v>
      </c>
      <c r="K317" t="s">
        <v>28</v>
      </c>
      <c r="L317" s="1">
        <v>42966</v>
      </c>
      <c r="M317" s="2">
        <v>415706</v>
      </c>
      <c r="N317" s="2" t="s">
        <v>2948</v>
      </c>
      <c r="O317" t="s">
        <v>41</v>
      </c>
      <c r="P317" t="s">
        <v>90</v>
      </c>
      <c r="Q317" t="s">
        <v>158</v>
      </c>
      <c r="R317">
        <v>8.6999999999999993</v>
      </c>
      <c r="S317" t="s">
        <v>2951</v>
      </c>
    </row>
    <row r="318" spans="1:19" x14ac:dyDescent="0.3">
      <c r="A318" t="s">
        <v>2328</v>
      </c>
      <c r="B318" t="s">
        <v>98</v>
      </c>
      <c r="C318" t="s">
        <v>57</v>
      </c>
      <c r="D318" t="s">
        <v>45</v>
      </c>
      <c r="E318">
        <v>53</v>
      </c>
      <c r="F318" t="s">
        <v>2947</v>
      </c>
      <c r="G318" t="s">
        <v>920</v>
      </c>
      <c r="H318" t="s">
        <v>2369</v>
      </c>
      <c r="I318" t="s">
        <v>394</v>
      </c>
      <c r="J318" t="s">
        <v>727</v>
      </c>
      <c r="K318" t="s">
        <v>28</v>
      </c>
      <c r="L318" s="1">
        <v>44985</v>
      </c>
      <c r="M318" s="2">
        <v>108916</v>
      </c>
      <c r="N318" s="2" t="s">
        <v>2949</v>
      </c>
      <c r="O318" t="s">
        <v>41</v>
      </c>
      <c r="P318" t="s">
        <v>205</v>
      </c>
      <c r="Q318" t="s">
        <v>65</v>
      </c>
      <c r="R318">
        <v>3.2</v>
      </c>
      <c r="S318" t="s">
        <v>2952</v>
      </c>
    </row>
    <row r="319" spans="1:19" x14ac:dyDescent="0.3">
      <c r="A319" t="s">
        <v>927</v>
      </c>
      <c r="B319" t="s">
        <v>347</v>
      </c>
      <c r="C319" t="s">
        <v>44</v>
      </c>
      <c r="D319" t="s">
        <v>24</v>
      </c>
      <c r="F319" t="s">
        <v>2369</v>
      </c>
      <c r="G319" t="s">
        <v>922</v>
      </c>
      <c r="H319" t="s">
        <v>2369</v>
      </c>
      <c r="I319" t="s">
        <v>271</v>
      </c>
      <c r="K319" t="s">
        <v>28</v>
      </c>
      <c r="L319" s="1">
        <v>44356</v>
      </c>
      <c r="M319" s="2">
        <v>814976</v>
      </c>
      <c r="N319" s="2" t="s">
        <v>2950</v>
      </c>
      <c r="O319" t="s">
        <v>253</v>
      </c>
      <c r="P319" t="s">
        <v>205</v>
      </c>
      <c r="Q319" t="s">
        <v>158</v>
      </c>
      <c r="R319">
        <v>4.9000000000000004</v>
      </c>
      <c r="S319" t="s">
        <v>2952</v>
      </c>
    </row>
    <row r="320" spans="1:19" x14ac:dyDescent="0.3">
      <c r="A320" t="s">
        <v>929</v>
      </c>
      <c r="B320" t="s">
        <v>37</v>
      </c>
      <c r="C320" t="s">
        <v>176</v>
      </c>
      <c r="D320" t="s">
        <v>24</v>
      </c>
      <c r="E320">
        <v>44</v>
      </c>
      <c r="F320" t="s">
        <v>2946</v>
      </c>
      <c r="G320" t="s">
        <v>924</v>
      </c>
      <c r="H320" t="s">
        <v>925</v>
      </c>
      <c r="I320" t="s">
        <v>209</v>
      </c>
      <c r="J320" t="s">
        <v>210</v>
      </c>
      <c r="K320" t="s">
        <v>48</v>
      </c>
      <c r="L320" s="1">
        <v>44197</v>
      </c>
      <c r="M320" s="2">
        <v>308981</v>
      </c>
      <c r="N320" s="2" t="s">
        <v>2948</v>
      </c>
      <c r="O320" t="s">
        <v>111</v>
      </c>
      <c r="P320" t="s">
        <v>90</v>
      </c>
      <c r="Q320" t="s">
        <v>79</v>
      </c>
      <c r="R320">
        <v>5.4</v>
      </c>
      <c r="S320" t="s">
        <v>2953</v>
      </c>
    </row>
    <row r="321" spans="1:19" x14ac:dyDescent="0.3">
      <c r="A321" t="s">
        <v>932</v>
      </c>
      <c r="B321" t="s">
        <v>137</v>
      </c>
      <c r="C321" t="s">
        <v>287</v>
      </c>
      <c r="D321" t="s">
        <v>45</v>
      </c>
      <c r="E321">
        <v>47</v>
      </c>
      <c r="F321" t="s">
        <v>2947</v>
      </c>
      <c r="G321" t="s">
        <v>926</v>
      </c>
      <c r="H321" t="s">
        <v>2624</v>
      </c>
      <c r="I321" t="s">
        <v>100</v>
      </c>
      <c r="J321" t="s">
        <v>647</v>
      </c>
      <c r="K321" t="s">
        <v>48</v>
      </c>
      <c r="L321" s="1">
        <v>44015</v>
      </c>
      <c r="M321" s="2">
        <v>277488</v>
      </c>
      <c r="N321" s="2" t="s">
        <v>2948</v>
      </c>
      <c r="O321" t="s">
        <v>216</v>
      </c>
      <c r="P321" t="s">
        <v>205</v>
      </c>
      <c r="Q321" t="s">
        <v>79</v>
      </c>
      <c r="R321">
        <v>5.9</v>
      </c>
      <c r="S321" t="s">
        <v>2953</v>
      </c>
    </row>
    <row r="322" spans="1:19" x14ac:dyDescent="0.3">
      <c r="A322" t="s">
        <v>935</v>
      </c>
      <c r="B322" t="s">
        <v>385</v>
      </c>
      <c r="C322" t="s">
        <v>327</v>
      </c>
      <c r="D322" t="s">
        <v>45</v>
      </c>
      <c r="E322">
        <v>33</v>
      </c>
      <c r="F322" t="s">
        <v>2946</v>
      </c>
      <c r="G322" t="s">
        <v>928</v>
      </c>
      <c r="H322" t="s">
        <v>2625</v>
      </c>
      <c r="I322" t="s">
        <v>394</v>
      </c>
      <c r="J322" t="s">
        <v>332</v>
      </c>
      <c r="K322" t="s">
        <v>48</v>
      </c>
      <c r="L322" s="1">
        <v>44344</v>
      </c>
      <c r="M322" s="2">
        <v>649153</v>
      </c>
      <c r="N322" s="2" t="s">
        <v>2950</v>
      </c>
      <c r="O322" t="s">
        <v>253</v>
      </c>
      <c r="P322" t="s">
        <v>90</v>
      </c>
      <c r="Q322" t="s">
        <v>158</v>
      </c>
      <c r="R322">
        <v>5</v>
      </c>
      <c r="S322" t="s">
        <v>2952</v>
      </c>
    </row>
    <row r="323" spans="1:19" x14ac:dyDescent="0.3">
      <c r="A323" t="s">
        <v>938</v>
      </c>
      <c r="B323" t="s">
        <v>145</v>
      </c>
      <c r="C323" t="s">
        <v>133</v>
      </c>
      <c r="D323" t="s">
        <v>24</v>
      </c>
      <c r="E323">
        <v>31</v>
      </c>
      <c r="F323" t="s">
        <v>2946</v>
      </c>
      <c r="G323" t="s">
        <v>930</v>
      </c>
      <c r="H323" t="s">
        <v>931</v>
      </c>
      <c r="I323" t="s">
        <v>485</v>
      </c>
      <c r="J323" t="s">
        <v>503</v>
      </c>
      <c r="K323" t="s">
        <v>48</v>
      </c>
      <c r="L323" s="1">
        <v>42188</v>
      </c>
      <c r="M323" s="2">
        <v>243503</v>
      </c>
      <c r="N323" s="2" t="s">
        <v>2948</v>
      </c>
      <c r="O323" t="s">
        <v>130</v>
      </c>
      <c r="P323" t="s">
        <v>152</v>
      </c>
      <c r="Q323" t="s">
        <v>158</v>
      </c>
      <c r="R323">
        <v>10.9</v>
      </c>
      <c r="S323" t="s">
        <v>2951</v>
      </c>
    </row>
    <row r="324" spans="1:19" x14ac:dyDescent="0.3">
      <c r="A324" t="s">
        <v>942</v>
      </c>
      <c r="B324" t="s">
        <v>555</v>
      </c>
      <c r="C324" t="s">
        <v>114</v>
      </c>
      <c r="D324" t="s">
        <v>24</v>
      </c>
      <c r="E324">
        <v>28</v>
      </c>
      <c r="F324" t="s">
        <v>2945</v>
      </c>
      <c r="G324" t="s">
        <v>933</v>
      </c>
      <c r="H324" t="s">
        <v>934</v>
      </c>
      <c r="I324" t="s">
        <v>394</v>
      </c>
      <c r="J324" t="s">
        <v>731</v>
      </c>
      <c r="K324" t="s">
        <v>71</v>
      </c>
      <c r="M324" s="2">
        <v>354201</v>
      </c>
      <c r="N324" s="2" t="s">
        <v>2948</v>
      </c>
      <c r="O324" t="s">
        <v>41</v>
      </c>
      <c r="P324" t="s">
        <v>152</v>
      </c>
      <c r="Q324" t="s">
        <v>158</v>
      </c>
      <c r="R324">
        <v>5</v>
      </c>
      <c r="S324" t="s">
        <v>2952</v>
      </c>
    </row>
    <row r="325" spans="1:19" x14ac:dyDescent="0.3">
      <c r="A325" t="s">
        <v>944</v>
      </c>
      <c r="B325" t="s">
        <v>30</v>
      </c>
      <c r="C325" t="s">
        <v>264</v>
      </c>
      <c r="D325" t="s">
        <v>24</v>
      </c>
      <c r="E325">
        <v>26</v>
      </c>
      <c r="F325" t="s">
        <v>2945</v>
      </c>
      <c r="G325" t="s">
        <v>936</v>
      </c>
      <c r="H325" t="s">
        <v>937</v>
      </c>
      <c r="I325" t="s">
        <v>592</v>
      </c>
      <c r="J325" t="s">
        <v>522</v>
      </c>
      <c r="K325" t="s">
        <v>48</v>
      </c>
      <c r="L325" s="1">
        <v>43200</v>
      </c>
      <c r="M325" s="2">
        <v>610154</v>
      </c>
      <c r="N325" s="2" t="s">
        <v>2950</v>
      </c>
      <c r="O325" t="s">
        <v>111</v>
      </c>
      <c r="P325" t="s">
        <v>152</v>
      </c>
      <c r="Q325" t="s">
        <v>244</v>
      </c>
      <c r="R325">
        <v>8.1</v>
      </c>
      <c r="S325" t="s">
        <v>2951</v>
      </c>
    </row>
    <row r="326" spans="1:19" x14ac:dyDescent="0.3">
      <c r="A326" t="s">
        <v>946</v>
      </c>
      <c r="B326" t="s">
        <v>416</v>
      </c>
      <c r="C326" t="s">
        <v>82</v>
      </c>
      <c r="D326" t="s">
        <v>45</v>
      </c>
      <c r="E326">
        <v>50</v>
      </c>
      <c r="F326" t="s">
        <v>2947</v>
      </c>
      <c r="G326" t="s">
        <v>549</v>
      </c>
      <c r="H326" t="s">
        <v>2626</v>
      </c>
      <c r="I326" t="s">
        <v>592</v>
      </c>
      <c r="J326" t="s">
        <v>939</v>
      </c>
      <c r="K326" t="s">
        <v>71</v>
      </c>
      <c r="L326" s="1">
        <v>44528</v>
      </c>
      <c r="M326" s="2">
        <v>485554</v>
      </c>
      <c r="N326" s="2" t="s">
        <v>2948</v>
      </c>
      <c r="O326" t="s">
        <v>41</v>
      </c>
      <c r="P326" t="s">
        <v>152</v>
      </c>
      <c r="Q326" t="s">
        <v>244</v>
      </c>
      <c r="R326">
        <v>4.5</v>
      </c>
      <c r="S326" t="s">
        <v>2952</v>
      </c>
    </row>
    <row r="327" spans="1:19" x14ac:dyDescent="0.3">
      <c r="A327" t="s">
        <v>949</v>
      </c>
      <c r="B327" t="s">
        <v>37</v>
      </c>
      <c r="C327" t="s">
        <v>183</v>
      </c>
      <c r="D327" t="s">
        <v>45</v>
      </c>
      <c r="F327" t="s">
        <v>2369</v>
      </c>
      <c r="G327" t="s">
        <v>941</v>
      </c>
      <c r="H327" t="s">
        <v>2627</v>
      </c>
      <c r="I327" t="s">
        <v>53</v>
      </c>
      <c r="J327" t="s">
        <v>659</v>
      </c>
      <c r="K327" t="s">
        <v>71</v>
      </c>
      <c r="L327" s="1">
        <v>43308</v>
      </c>
      <c r="M327" s="2">
        <v>400892</v>
      </c>
      <c r="N327" s="2" t="s">
        <v>2948</v>
      </c>
      <c r="O327" t="s">
        <v>130</v>
      </c>
      <c r="P327" t="s">
        <v>21</v>
      </c>
      <c r="Q327" t="s">
        <v>79</v>
      </c>
      <c r="R327">
        <v>7.8</v>
      </c>
      <c r="S327" t="s">
        <v>2953</v>
      </c>
    </row>
    <row r="328" spans="1:19" x14ac:dyDescent="0.3">
      <c r="A328" t="s">
        <v>951</v>
      </c>
      <c r="B328" t="s">
        <v>412</v>
      </c>
      <c r="C328" t="s">
        <v>287</v>
      </c>
      <c r="D328" t="s">
        <v>45</v>
      </c>
      <c r="E328">
        <v>55</v>
      </c>
      <c r="F328" t="s">
        <v>2947</v>
      </c>
      <c r="G328" t="s">
        <v>943</v>
      </c>
      <c r="H328" t="s">
        <v>2628</v>
      </c>
      <c r="I328" t="s">
        <v>485</v>
      </c>
      <c r="J328" t="s">
        <v>185</v>
      </c>
      <c r="K328" t="s">
        <v>35</v>
      </c>
      <c r="L328" s="1">
        <v>43638</v>
      </c>
      <c r="M328" s="2">
        <v>219580</v>
      </c>
      <c r="N328" s="2" t="s">
        <v>2948</v>
      </c>
      <c r="O328" t="s">
        <v>216</v>
      </c>
      <c r="P328" t="s">
        <v>152</v>
      </c>
      <c r="Q328" t="s">
        <v>158</v>
      </c>
      <c r="R328">
        <v>6.9</v>
      </c>
      <c r="S328" t="s">
        <v>2953</v>
      </c>
    </row>
    <row r="329" spans="1:19" x14ac:dyDescent="0.3">
      <c r="A329" t="s">
        <v>953</v>
      </c>
      <c r="B329" t="s">
        <v>30</v>
      </c>
      <c r="C329" t="s">
        <v>249</v>
      </c>
      <c r="D329" t="s">
        <v>45</v>
      </c>
      <c r="E329">
        <v>48</v>
      </c>
      <c r="F329" t="s">
        <v>2947</v>
      </c>
      <c r="G329" t="s">
        <v>945</v>
      </c>
      <c r="H329" t="s">
        <v>2629</v>
      </c>
      <c r="I329" t="s">
        <v>209</v>
      </c>
      <c r="J329" t="s">
        <v>122</v>
      </c>
      <c r="K329" t="s">
        <v>35</v>
      </c>
      <c r="M329" s="2">
        <v>238002</v>
      </c>
      <c r="N329" s="2" t="s">
        <v>2948</v>
      </c>
      <c r="O329" t="s">
        <v>111</v>
      </c>
      <c r="P329" t="s">
        <v>152</v>
      </c>
      <c r="Q329" t="s">
        <v>72</v>
      </c>
      <c r="R329">
        <v>9.1</v>
      </c>
      <c r="S329" t="s">
        <v>2951</v>
      </c>
    </row>
    <row r="330" spans="1:19" x14ac:dyDescent="0.3">
      <c r="A330" t="s">
        <v>956</v>
      </c>
      <c r="B330" t="s">
        <v>81</v>
      </c>
      <c r="C330" t="s">
        <v>120</v>
      </c>
      <c r="D330" t="s">
        <v>45</v>
      </c>
      <c r="E330">
        <v>39</v>
      </c>
      <c r="F330" t="s">
        <v>2946</v>
      </c>
      <c r="G330" t="s">
        <v>947</v>
      </c>
      <c r="H330" t="s">
        <v>2630</v>
      </c>
      <c r="I330" t="s">
        <v>100</v>
      </c>
      <c r="J330" t="s">
        <v>948</v>
      </c>
      <c r="K330" t="s">
        <v>48</v>
      </c>
      <c r="M330" s="2">
        <v>572377</v>
      </c>
      <c r="N330" s="2" t="s">
        <v>2950</v>
      </c>
      <c r="O330" t="s">
        <v>111</v>
      </c>
      <c r="P330" t="s">
        <v>205</v>
      </c>
      <c r="Q330" t="s">
        <v>79</v>
      </c>
      <c r="R330">
        <v>4.3</v>
      </c>
      <c r="S330" t="s">
        <v>2952</v>
      </c>
    </row>
    <row r="331" spans="1:19" x14ac:dyDescent="0.3">
      <c r="A331" t="s">
        <v>958</v>
      </c>
      <c r="B331" t="s">
        <v>92</v>
      </c>
      <c r="C331" t="s">
        <v>327</v>
      </c>
      <c r="D331" t="s">
        <v>24</v>
      </c>
      <c r="E331">
        <v>48</v>
      </c>
      <c r="F331" t="s">
        <v>2947</v>
      </c>
      <c r="G331" t="s">
        <v>950</v>
      </c>
      <c r="H331" t="s">
        <v>2369</v>
      </c>
      <c r="I331" t="s">
        <v>485</v>
      </c>
      <c r="J331" t="s">
        <v>613</v>
      </c>
      <c r="K331" t="s">
        <v>48</v>
      </c>
      <c r="L331" s="1">
        <v>44031</v>
      </c>
      <c r="M331" s="2">
        <v>96730</v>
      </c>
      <c r="N331" s="2" t="s">
        <v>2949</v>
      </c>
      <c r="O331" t="s">
        <v>41</v>
      </c>
      <c r="P331" t="s">
        <v>205</v>
      </c>
      <c r="Q331" t="s">
        <v>79</v>
      </c>
      <c r="R331">
        <v>5.8</v>
      </c>
      <c r="S331" t="s">
        <v>2953</v>
      </c>
    </row>
    <row r="332" spans="1:19" x14ac:dyDescent="0.3">
      <c r="A332" t="s">
        <v>2329</v>
      </c>
      <c r="B332" t="s">
        <v>141</v>
      </c>
      <c r="C332" t="s">
        <v>120</v>
      </c>
      <c r="D332" t="s">
        <v>24</v>
      </c>
      <c r="E332">
        <v>57</v>
      </c>
      <c r="F332" t="s">
        <v>2947</v>
      </c>
      <c r="G332" t="s">
        <v>952</v>
      </c>
      <c r="H332" t="s">
        <v>2631</v>
      </c>
      <c r="I332" t="s">
        <v>485</v>
      </c>
      <c r="J332" t="s">
        <v>262</v>
      </c>
      <c r="K332" t="s">
        <v>35</v>
      </c>
      <c r="L332" s="1">
        <v>44950</v>
      </c>
      <c r="M332" s="2">
        <v>354294</v>
      </c>
      <c r="N332" s="2" t="s">
        <v>2948</v>
      </c>
      <c r="O332" t="s">
        <v>253</v>
      </c>
      <c r="P332" t="s">
        <v>90</v>
      </c>
      <c r="Q332" t="s">
        <v>158</v>
      </c>
      <c r="R332">
        <v>3.3</v>
      </c>
      <c r="S332" t="s">
        <v>2952</v>
      </c>
    </row>
    <row r="333" spans="1:19" x14ac:dyDescent="0.3">
      <c r="A333" t="s">
        <v>961</v>
      </c>
      <c r="B333" t="s">
        <v>132</v>
      </c>
      <c r="C333" t="s">
        <v>277</v>
      </c>
      <c r="D333" t="s">
        <v>24</v>
      </c>
      <c r="E333">
        <v>25</v>
      </c>
      <c r="F333" t="s">
        <v>2945</v>
      </c>
      <c r="G333" t="s">
        <v>954</v>
      </c>
      <c r="H333" t="s">
        <v>955</v>
      </c>
      <c r="I333" t="s">
        <v>592</v>
      </c>
      <c r="J333" t="s">
        <v>939</v>
      </c>
      <c r="K333" t="s">
        <v>71</v>
      </c>
      <c r="L333" s="1">
        <v>42959</v>
      </c>
      <c r="M333" s="2">
        <v>300430</v>
      </c>
      <c r="N333" s="2" t="s">
        <v>2948</v>
      </c>
      <c r="O333" t="s">
        <v>130</v>
      </c>
      <c r="P333" t="s">
        <v>152</v>
      </c>
      <c r="Q333" t="s">
        <v>65</v>
      </c>
      <c r="R333">
        <v>8.8000000000000007</v>
      </c>
      <c r="S333" t="s">
        <v>2951</v>
      </c>
    </row>
    <row r="334" spans="1:19" x14ac:dyDescent="0.3">
      <c r="A334" t="s">
        <v>963</v>
      </c>
      <c r="B334" t="s">
        <v>74</v>
      </c>
      <c r="C334" t="s">
        <v>516</v>
      </c>
      <c r="D334" t="s">
        <v>45</v>
      </c>
      <c r="E334">
        <v>40</v>
      </c>
      <c r="F334" t="s">
        <v>2946</v>
      </c>
      <c r="G334" t="s">
        <v>957</v>
      </c>
      <c r="H334" t="s">
        <v>2632</v>
      </c>
      <c r="I334" t="s">
        <v>235</v>
      </c>
      <c r="J334" t="s">
        <v>418</v>
      </c>
      <c r="K334" t="s">
        <v>35</v>
      </c>
      <c r="L334" s="1">
        <v>44804</v>
      </c>
      <c r="M334" s="2">
        <v>343893</v>
      </c>
      <c r="N334" s="2" t="s">
        <v>2948</v>
      </c>
      <c r="O334" t="s">
        <v>111</v>
      </c>
      <c r="P334" t="s">
        <v>90</v>
      </c>
      <c r="Q334" t="s">
        <v>65</v>
      </c>
      <c r="R334">
        <v>3.7</v>
      </c>
      <c r="S334" t="s">
        <v>2952</v>
      </c>
    </row>
    <row r="335" spans="1:19" x14ac:dyDescent="0.3">
      <c r="A335" t="s">
        <v>965</v>
      </c>
      <c r="B335" t="s">
        <v>44</v>
      </c>
      <c r="C335" t="s">
        <v>98</v>
      </c>
      <c r="D335" t="s">
        <v>45</v>
      </c>
      <c r="E335">
        <v>46</v>
      </c>
      <c r="F335" t="s">
        <v>2947</v>
      </c>
      <c r="G335" t="s">
        <v>959</v>
      </c>
      <c r="H335" t="s">
        <v>2633</v>
      </c>
      <c r="I335" t="s">
        <v>517</v>
      </c>
      <c r="J335" t="s">
        <v>596</v>
      </c>
      <c r="K335" t="s">
        <v>35</v>
      </c>
      <c r="L335" s="1">
        <v>42586</v>
      </c>
      <c r="M335" s="2">
        <v>853701</v>
      </c>
      <c r="N335" s="2" t="s">
        <v>2950</v>
      </c>
      <c r="O335" t="s">
        <v>216</v>
      </c>
      <c r="P335" t="s">
        <v>353</v>
      </c>
      <c r="Q335" t="s">
        <v>65</v>
      </c>
      <c r="R335">
        <v>9.8000000000000007</v>
      </c>
      <c r="S335" t="s">
        <v>2951</v>
      </c>
    </row>
    <row r="336" spans="1:19" x14ac:dyDescent="0.3">
      <c r="A336" t="s">
        <v>967</v>
      </c>
      <c r="B336" t="s">
        <v>124</v>
      </c>
      <c r="C336" t="s">
        <v>68</v>
      </c>
      <c r="D336" t="s">
        <v>24</v>
      </c>
      <c r="E336">
        <v>53</v>
      </c>
      <c r="F336" t="s">
        <v>2947</v>
      </c>
      <c r="G336" t="s">
        <v>960</v>
      </c>
      <c r="H336" t="s">
        <v>2634</v>
      </c>
      <c r="I336" t="s">
        <v>53</v>
      </c>
      <c r="J336" t="s">
        <v>426</v>
      </c>
      <c r="K336" t="s">
        <v>71</v>
      </c>
      <c r="L336" s="1">
        <v>42891</v>
      </c>
      <c r="M336" s="2">
        <v>516569</v>
      </c>
      <c r="N336" s="2" t="s">
        <v>2950</v>
      </c>
      <c r="O336" t="s">
        <v>216</v>
      </c>
      <c r="P336" t="s">
        <v>152</v>
      </c>
      <c r="Q336" t="s">
        <v>72</v>
      </c>
      <c r="R336">
        <v>8.9</v>
      </c>
      <c r="S336" t="s">
        <v>2951</v>
      </c>
    </row>
    <row r="337" spans="1:19" x14ac:dyDescent="0.3">
      <c r="A337" t="s">
        <v>970</v>
      </c>
      <c r="B337" t="s">
        <v>103</v>
      </c>
      <c r="C337" t="s">
        <v>23</v>
      </c>
      <c r="D337" t="s">
        <v>45</v>
      </c>
      <c r="E337">
        <v>23</v>
      </c>
      <c r="F337" t="s">
        <v>2945</v>
      </c>
      <c r="G337" t="s">
        <v>962</v>
      </c>
      <c r="H337" t="s">
        <v>2369</v>
      </c>
      <c r="I337" t="s">
        <v>235</v>
      </c>
      <c r="J337" t="s">
        <v>480</v>
      </c>
      <c r="K337" t="s">
        <v>48</v>
      </c>
      <c r="L337" s="1">
        <v>44312</v>
      </c>
      <c r="M337" s="2">
        <v>572571</v>
      </c>
      <c r="N337" s="2" t="s">
        <v>2950</v>
      </c>
      <c r="O337" t="s">
        <v>41</v>
      </c>
      <c r="P337" t="s">
        <v>90</v>
      </c>
      <c r="Q337" t="s">
        <v>79</v>
      </c>
      <c r="R337">
        <v>5.0999999999999996</v>
      </c>
      <c r="S337" t="s">
        <v>2953</v>
      </c>
    </row>
    <row r="338" spans="1:19" x14ac:dyDescent="0.3">
      <c r="A338" t="s">
        <v>972</v>
      </c>
      <c r="B338" t="s">
        <v>56</v>
      </c>
      <c r="C338" t="s">
        <v>18</v>
      </c>
      <c r="D338" t="s">
        <v>24</v>
      </c>
      <c r="E338">
        <v>54</v>
      </c>
      <c r="F338" t="s">
        <v>2947</v>
      </c>
      <c r="G338" t="s">
        <v>964</v>
      </c>
      <c r="H338" t="s">
        <v>2369</v>
      </c>
      <c r="I338" t="s">
        <v>394</v>
      </c>
      <c r="J338" t="s">
        <v>195</v>
      </c>
      <c r="K338" t="s">
        <v>71</v>
      </c>
      <c r="L338" s="1">
        <v>42803</v>
      </c>
      <c r="M338" s="2">
        <v>628931</v>
      </c>
      <c r="N338" s="2" t="s">
        <v>2950</v>
      </c>
      <c r="O338" t="s">
        <v>216</v>
      </c>
      <c r="P338" t="s">
        <v>152</v>
      </c>
      <c r="Q338" t="s">
        <v>158</v>
      </c>
      <c r="R338">
        <v>9.1999999999999993</v>
      </c>
      <c r="S338" t="s">
        <v>2951</v>
      </c>
    </row>
    <row r="339" spans="1:19" x14ac:dyDescent="0.3">
      <c r="A339" t="s">
        <v>974</v>
      </c>
      <c r="B339" t="s">
        <v>190</v>
      </c>
      <c r="C339" t="s">
        <v>314</v>
      </c>
      <c r="D339" t="s">
        <v>45</v>
      </c>
      <c r="E339">
        <v>42</v>
      </c>
      <c r="F339" t="s">
        <v>2946</v>
      </c>
      <c r="G339" t="s">
        <v>966</v>
      </c>
      <c r="H339" t="s">
        <v>2635</v>
      </c>
      <c r="I339" t="s">
        <v>592</v>
      </c>
      <c r="J339" t="s">
        <v>157</v>
      </c>
      <c r="K339" t="s">
        <v>35</v>
      </c>
      <c r="L339" s="1">
        <v>43625</v>
      </c>
      <c r="M339" s="2">
        <v>266644</v>
      </c>
      <c r="N339" s="2" t="s">
        <v>2948</v>
      </c>
      <c r="O339" t="s">
        <v>130</v>
      </c>
      <c r="P339" t="s">
        <v>90</v>
      </c>
      <c r="Q339" t="s">
        <v>65</v>
      </c>
      <c r="R339">
        <v>6.9</v>
      </c>
      <c r="S339" t="s">
        <v>2953</v>
      </c>
    </row>
    <row r="340" spans="1:19" x14ac:dyDescent="0.3">
      <c r="A340" t="s">
        <v>976</v>
      </c>
      <c r="B340" t="s">
        <v>137</v>
      </c>
      <c r="C340" t="s">
        <v>264</v>
      </c>
      <c r="D340" t="s">
        <v>45</v>
      </c>
      <c r="E340">
        <v>36</v>
      </c>
      <c r="F340" t="s">
        <v>2946</v>
      </c>
      <c r="G340" t="s">
        <v>968</v>
      </c>
      <c r="H340" t="s">
        <v>969</v>
      </c>
      <c r="I340" t="s">
        <v>53</v>
      </c>
      <c r="J340" t="s">
        <v>54</v>
      </c>
      <c r="K340" t="s">
        <v>35</v>
      </c>
      <c r="L340" s="1">
        <v>44638</v>
      </c>
      <c r="M340" s="2">
        <v>811159</v>
      </c>
      <c r="N340" s="2" t="s">
        <v>2950</v>
      </c>
      <c r="O340" t="s">
        <v>111</v>
      </c>
      <c r="P340" t="s">
        <v>90</v>
      </c>
      <c r="Q340" t="s">
        <v>65</v>
      </c>
      <c r="R340">
        <v>4.2</v>
      </c>
      <c r="S340" t="s">
        <v>2952</v>
      </c>
    </row>
    <row r="341" spans="1:19" x14ac:dyDescent="0.3">
      <c r="A341" t="s">
        <v>978</v>
      </c>
      <c r="B341" t="s">
        <v>148</v>
      </c>
      <c r="C341" t="s">
        <v>176</v>
      </c>
      <c r="D341" t="s">
        <v>24</v>
      </c>
      <c r="E341">
        <v>38</v>
      </c>
      <c r="F341" t="s">
        <v>2946</v>
      </c>
      <c r="G341" t="s">
        <v>971</v>
      </c>
      <c r="H341" t="s">
        <v>2636</v>
      </c>
      <c r="I341" t="s">
        <v>209</v>
      </c>
      <c r="K341" t="s">
        <v>71</v>
      </c>
      <c r="L341" s="1">
        <v>42806</v>
      </c>
      <c r="M341" s="2">
        <v>422945</v>
      </c>
      <c r="N341" s="2" t="s">
        <v>2948</v>
      </c>
      <c r="O341" t="s">
        <v>253</v>
      </c>
      <c r="P341" t="s">
        <v>205</v>
      </c>
      <c r="Q341" t="s">
        <v>72</v>
      </c>
      <c r="R341">
        <v>9.1999999999999993</v>
      </c>
      <c r="S341" t="s">
        <v>2951</v>
      </c>
    </row>
    <row r="342" spans="1:19" x14ac:dyDescent="0.3">
      <c r="A342" t="s">
        <v>979</v>
      </c>
      <c r="B342" t="s">
        <v>224</v>
      </c>
      <c r="C342" t="s">
        <v>273</v>
      </c>
      <c r="D342" t="s">
        <v>24</v>
      </c>
      <c r="E342">
        <v>32</v>
      </c>
      <c r="F342" t="s">
        <v>2946</v>
      </c>
      <c r="G342" t="s">
        <v>973</v>
      </c>
      <c r="H342" t="s">
        <v>2637</v>
      </c>
      <c r="I342" t="s">
        <v>485</v>
      </c>
      <c r="J342" t="s">
        <v>503</v>
      </c>
      <c r="K342" t="s">
        <v>28</v>
      </c>
      <c r="L342" s="1">
        <v>44470</v>
      </c>
      <c r="M342" s="2">
        <v>870478</v>
      </c>
      <c r="N342" s="2" t="s">
        <v>2950</v>
      </c>
      <c r="O342" t="s">
        <v>111</v>
      </c>
      <c r="P342" t="s">
        <v>205</v>
      </c>
      <c r="Q342" t="s">
        <v>158</v>
      </c>
      <c r="R342">
        <v>4.5999999999999996</v>
      </c>
      <c r="S342" t="s">
        <v>2952</v>
      </c>
    </row>
    <row r="343" spans="1:19" x14ac:dyDescent="0.3">
      <c r="A343" t="s">
        <v>981</v>
      </c>
      <c r="B343" t="s">
        <v>17</v>
      </c>
      <c r="C343" t="s">
        <v>221</v>
      </c>
      <c r="D343" t="s">
        <v>24</v>
      </c>
      <c r="E343">
        <v>27</v>
      </c>
      <c r="F343" t="s">
        <v>2945</v>
      </c>
      <c r="G343" t="s">
        <v>975</v>
      </c>
      <c r="H343" t="s">
        <v>2638</v>
      </c>
      <c r="I343" t="s">
        <v>368</v>
      </c>
      <c r="J343" t="s">
        <v>267</v>
      </c>
      <c r="K343" t="s">
        <v>35</v>
      </c>
      <c r="L343" s="1">
        <v>42063</v>
      </c>
      <c r="M343" s="2">
        <v>198055</v>
      </c>
      <c r="N343" s="2" t="s">
        <v>2949</v>
      </c>
      <c r="O343" t="s">
        <v>111</v>
      </c>
      <c r="P343" t="s">
        <v>152</v>
      </c>
      <c r="Q343" t="s">
        <v>72</v>
      </c>
      <c r="R343">
        <v>11.2</v>
      </c>
      <c r="S343" t="s">
        <v>2951</v>
      </c>
    </row>
    <row r="344" spans="1:19" x14ac:dyDescent="0.3">
      <c r="A344" t="s">
        <v>983</v>
      </c>
      <c r="B344" t="s">
        <v>141</v>
      </c>
      <c r="C344" t="s">
        <v>408</v>
      </c>
      <c r="D344" t="s">
        <v>45</v>
      </c>
      <c r="E344">
        <v>25</v>
      </c>
      <c r="F344" t="s">
        <v>2945</v>
      </c>
      <c r="G344" t="s">
        <v>977</v>
      </c>
      <c r="H344" t="s">
        <v>2639</v>
      </c>
      <c r="I344" t="s">
        <v>517</v>
      </c>
      <c r="J344" t="s">
        <v>790</v>
      </c>
      <c r="K344" t="s">
        <v>48</v>
      </c>
      <c r="L344" s="1">
        <v>44935</v>
      </c>
      <c r="M344" s="2">
        <v>858594</v>
      </c>
      <c r="N344" s="2" t="s">
        <v>2950</v>
      </c>
      <c r="O344" t="s">
        <v>198</v>
      </c>
      <c r="P344" t="s">
        <v>21</v>
      </c>
      <c r="Q344" t="s">
        <v>244</v>
      </c>
      <c r="R344">
        <v>3.3</v>
      </c>
      <c r="S344" t="s">
        <v>2952</v>
      </c>
    </row>
    <row r="345" spans="1:19" x14ac:dyDescent="0.3">
      <c r="A345" t="s">
        <v>985</v>
      </c>
      <c r="B345" t="s">
        <v>175</v>
      </c>
      <c r="C345" t="s">
        <v>314</v>
      </c>
      <c r="D345" t="s">
        <v>24</v>
      </c>
      <c r="E345">
        <v>32</v>
      </c>
      <c r="F345" t="s">
        <v>2946</v>
      </c>
      <c r="G345" t="s">
        <v>2379</v>
      </c>
      <c r="H345" t="s">
        <v>2369</v>
      </c>
      <c r="I345" t="s">
        <v>100</v>
      </c>
      <c r="J345" t="s">
        <v>343</v>
      </c>
      <c r="K345" t="s">
        <v>28</v>
      </c>
      <c r="M345" s="2">
        <v>743431</v>
      </c>
      <c r="N345" s="2" t="s">
        <v>2950</v>
      </c>
      <c r="O345" t="s">
        <v>41</v>
      </c>
      <c r="P345" t="s">
        <v>21</v>
      </c>
      <c r="Q345" t="s">
        <v>79</v>
      </c>
      <c r="R345">
        <v>5.3</v>
      </c>
      <c r="S345" t="s">
        <v>2953</v>
      </c>
    </row>
    <row r="346" spans="1:19" x14ac:dyDescent="0.3">
      <c r="A346" t="s">
        <v>988</v>
      </c>
      <c r="B346" t="s">
        <v>385</v>
      </c>
      <c r="C346" t="s">
        <v>277</v>
      </c>
      <c r="D346" t="s">
        <v>24</v>
      </c>
      <c r="E346">
        <v>26</v>
      </c>
      <c r="F346" t="s">
        <v>2945</v>
      </c>
      <c r="G346" t="s">
        <v>980</v>
      </c>
      <c r="H346" t="s">
        <v>2640</v>
      </c>
      <c r="I346" t="s">
        <v>53</v>
      </c>
      <c r="J346" t="s">
        <v>866</v>
      </c>
      <c r="K346" t="s">
        <v>71</v>
      </c>
      <c r="L346" s="1">
        <v>44033</v>
      </c>
      <c r="M346" s="2">
        <v>231367</v>
      </c>
      <c r="N346" s="2" t="s">
        <v>2948</v>
      </c>
      <c r="O346" t="s">
        <v>111</v>
      </c>
      <c r="P346" t="s">
        <v>21</v>
      </c>
      <c r="Q346" t="s">
        <v>244</v>
      </c>
      <c r="R346">
        <v>5.8</v>
      </c>
      <c r="S346" t="s">
        <v>2953</v>
      </c>
    </row>
    <row r="347" spans="1:19" x14ac:dyDescent="0.3">
      <c r="A347" t="s">
        <v>990</v>
      </c>
      <c r="B347" t="s">
        <v>310</v>
      </c>
      <c r="C347" t="s">
        <v>146</v>
      </c>
      <c r="D347" t="s">
        <v>24</v>
      </c>
      <c r="E347">
        <v>44</v>
      </c>
      <c r="F347" t="s">
        <v>2946</v>
      </c>
      <c r="G347" t="s">
        <v>982</v>
      </c>
      <c r="H347" t="s">
        <v>2641</v>
      </c>
      <c r="I347" t="s">
        <v>592</v>
      </c>
      <c r="J347" t="s">
        <v>765</v>
      </c>
      <c r="K347" t="s">
        <v>28</v>
      </c>
      <c r="L347" s="1">
        <v>42406</v>
      </c>
      <c r="M347" s="2">
        <v>523234</v>
      </c>
      <c r="N347" s="2" t="s">
        <v>2950</v>
      </c>
      <c r="O347" t="s">
        <v>253</v>
      </c>
      <c r="P347" t="s">
        <v>353</v>
      </c>
      <c r="Q347" t="s">
        <v>244</v>
      </c>
      <c r="R347">
        <v>10.3</v>
      </c>
      <c r="S347" t="s">
        <v>2951</v>
      </c>
    </row>
    <row r="348" spans="1:19" x14ac:dyDescent="0.3">
      <c r="A348" t="s">
        <v>992</v>
      </c>
      <c r="B348" t="s">
        <v>212</v>
      </c>
      <c r="C348" t="s">
        <v>273</v>
      </c>
      <c r="D348" t="s">
        <v>24</v>
      </c>
      <c r="E348">
        <v>29</v>
      </c>
      <c r="F348" t="s">
        <v>2945</v>
      </c>
      <c r="G348" t="s">
        <v>984</v>
      </c>
      <c r="H348" t="s">
        <v>2642</v>
      </c>
      <c r="I348" t="s">
        <v>53</v>
      </c>
      <c r="J348" t="s">
        <v>252</v>
      </c>
      <c r="K348" t="s">
        <v>35</v>
      </c>
      <c r="L348" s="1">
        <v>42204</v>
      </c>
      <c r="N348" s="2" t="s">
        <v>2369</v>
      </c>
      <c r="O348" t="s">
        <v>253</v>
      </c>
      <c r="P348" t="s">
        <v>21</v>
      </c>
      <c r="Q348" t="s">
        <v>158</v>
      </c>
      <c r="R348">
        <v>10.8</v>
      </c>
      <c r="S348" t="s">
        <v>2951</v>
      </c>
    </row>
    <row r="349" spans="1:19" x14ac:dyDescent="0.3">
      <c r="A349" t="s">
        <v>994</v>
      </c>
      <c r="B349" t="s">
        <v>310</v>
      </c>
      <c r="C349" t="s">
        <v>86</v>
      </c>
      <c r="D349" t="s">
        <v>24</v>
      </c>
      <c r="F349" t="s">
        <v>2369</v>
      </c>
      <c r="G349" t="s">
        <v>986</v>
      </c>
      <c r="H349" t="s">
        <v>987</v>
      </c>
      <c r="I349" t="s">
        <v>368</v>
      </c>
      <c r="J349" t="s">
        <v>455</v>
      </c>
      <c r="K349" t="s">
        <v>28</v>
      </c>
      <c r="L349" s="1">
        <v>44231</v>
      </c>
      <c r="M349" s="2">
        <v>1914930</v>
      </c>
      <c r="N349" s="2" t="s">
        <v>2950</v>
      </c>
      <c r="O349" t="s">
        <v>130</v>
      </c>
      <c r="P349" t="s">
        <v>152</v>
      </c>
      <c r="Q349" t="s">
        <v>65</v>
      </c>
      <c r="R349">
        <v>5.3</v>
      </c>
      <c r="S349" t="s">
        <v>2953</v>
      </c>
    </row>
    <row r="350" spans="1:19" x14ac:dyDescent="0.3">
      <c r="A350" t="s">
        <v>997</v>
      </c>
      <c r="B350" t="s">
        <v>61</v>
      </c>
      <c r="C350" t="s">
        <v>318</v>
      </c>
      <c r="D350" t="s">
        <v>24</v>
      </c>
      <c r="E350">
        <v>42</v>
      </c>
      <c r="F350" t="s">
        <v>2946</v>
      </c>
      <c r="G350" t="s">
        <v>989</v>
      </c>
      <c r="H350" t="s">
        <v>2643</v>
      </c>
      <c r="I350" t="s">
        <v>209</v>
      </c>
      <c r="J350" t="s">
        <v>78</v>
      </c>
      <c r="K350" t="s">
        <v>28</v>
      </c>
      <c r="L350" s="1">
        <v>43247</v>
      </c>
      <c r="M350" s="2">
        <v>223719</v>
      </c>
      <c r="N350" s="2" t="s">
        <v>2948</v>
      </c>
      <c r="O350" t="s">
        <v>198</v>
      </c>
      <c r="P350" t="s">
        <v>152</v>
      </c>
      <c r="Q350" t="s">
        <v>79</v>
      </c>
      <c r="R350">
        <v>8</v>
      </c>
      <c r="S350" t="s">
        <v>2953</v>
      </c>
    </row>
    <row r="351" spans="1:19" x14ac:dyDescent="0.3">
      <c r="A351" t="s">
        <v>999</v>
      </c>
      <c r="B351" t="s">
        <v>297</v>
      </c>
      <c r="C351" t="s">
        <v>249</v>
      </c>
      <c r="D351" t="s">
        <v>24</v>
      </c>
      <c r="E351">
        <v>30</v>
      </c>
      <c r="F351" t="s">
        <v>2945</v>
      </c>
      <c r="G351" t="s">
        <v>991</v>
      </c>
      <c r="H351" t="s">
        <v>2644</v>
      </c>
      <c r="I351" t="s">
        <v>517</v>
      </c>
      <c r="J351" t="s">
        <v>239</v>
      </c>
      <c r="K351" t="s">
        <v>28</v>
      </c>
      <c r="L351" s="1">
        <v>42925</v>
      </c>
      <c r="M351" s="2">
        <v>864972</v>
      </c>
      <c r="N351" s="2" t="s">
        <v>2950</v>
      </c>
      <c r="O351" t="s">
        <v>253</v>
      </c>
      <c r="P351" t="s">
        <v>90</v>
      </c>
      <c r="Q351" t="s">
        <v>79</v>
      </c>
      <c r="R351">
        <v>8.8000000000000007</v>
      </c>
      <c r="S351" t="s">
        <v>2951</v>
      </c>
    </row>
    <row r="352" spans="1:19" x14ac:dyDescent="0.3">
      <c r="A352" t="s">
        <v>1001</v>
      </c>
      <c r="B352" t="s">
        <v>56</v>
      </c>
      <c r="C352" t="s">
        <v>108</v>
      </c>
      <c r="D352" t="s">
        <v>24</v>
      </c>
      <c r="E352">
        <v>53</v>
      </c>
      <c r="F352" t="s">
        <v>2947</v>
      </c>
      <c r="G352" t="s">
        <v>993</v>
      </c>
      <c r="H352" t="s">
        <v>2645</v>
      </c>
      <c r="I352" t="s">
        <v>209</v>
      </c>
      <c r="J352" t="s">
        <v>292</v>
      </c>
      <c r="K352" t="s">
        <v>71</v>
      </c>
      <c r="L352" s="1">
        <v>43385</v>
      </c>
      <c r="M352" s="2">
        <v>175407</v>
      </c>
      <c r="N352" s="2" t="s">
        <v>2949</v>
      </c>
      <c r="O352" t="s">
        <v>130</v>
      </c>
      <c r="P352" t="s">
        <v>152</v>
      </c>
      <c r="Q352" t="s">
        <v>244</v>
      </c>
      <c r="R352">
        <v>7.6</v>
      </c>
      <c r="S352" t="s">
        <v>2953</v>
      </c>
    </row>
    <row r="353" spans="1:19" x14ac:dyDescent="0.3">
      <c r="A353" t="s">
        <v>1003</v>
      </c>
      <c r="B353" t="s">
        <v>17</v>
      </c>
      <c r="C353" t="s">
        <v>68</v>
      </c>
      <c r="D353" t="s">
        <v>24</v>
      </c>
      <c r="E353">
        <v>45</v>
      </c>
      <c r="F353" t="s">
        <v>2946</v>
      </c>
      <c r="G353" t="s">
        <v>995</v>
      </c>
      <c r="H353" t="s">
        <v>996</v>
      </c>
      <c r="I353" t="s">
        <v>235</v>
      </c>
      <c r="J353" t="s">
        <v>528</v>
      </c>
      <c r="K353" t="s">
        <v>71</v>
      </c>
      <c r="L353" s="1">
        <v>44657</v>
      </c>
      <c r="M353" s="2">
        <v>601095</v>
      </c>
      <c r="N353" s="2" t="s">
        <v>2950</v>
      </c>
      <c r="O353" t="s">
        <v>198</v>
      </c>
      <c r="P353" t="s">
        <v>90</v>
      </c>
      <c r="Q353" t="s">
        <v>244</v>
      </c>
      <c r="R353">
        <v>4.0999999999999996</v>
      </c>
      <c r="S353" t="s">
        <v>2952</v>
      </c>
    </row>
    <row r="354" spans="1:19" x14ac:dyDescent="0.3">
      <c r="A354" t="s">
        <v>1006</v>
      </c>
      <c r="B354" t="s">
        <v>301</v>
      </c>
      <c r="C354" t="s">
        <v>264</v>
      </c>
      <c r="D354" t="s">
        <v>45</v>
      </c>
      <c r="F354" t="s">
        <v>2369</v>
      </c>
      <c r="G354" t="s">
        <v>998</v>
      </c>
      <c r="H354" t="s">
        <v>2646</v>
      </c>
      <c r="I354" t="s">
        <v>368</v>
      </c>
      <c r="J354" t="s">
        <v>227</v>
      </c>
      <c r="K354" t="s">
        <v>71</v>
      </c>
      <c r="L354" s="1">
        <v>42445</v>
      </c>
      <c r="M354" s="2">
        <v>655134</v>
      </c>
      <c r="N354" s="2" t="s">
        <v>2950</v>
      </c>
      <c r="O354" t="s">
        <v>216</v>
      </c>
      <c r="P354" t="s">
        <v>353</v>
      </c>
      <c r="Q354" t="s">
        <v>158</v>
      </c>
      <c r="R354">
        <v>10.199999999999999</v>
      </c>
      <c r="S354" t="s">
        <v>2951</v>
      </c>
    </row>
    <row r="355" spans="1:19" x14ac:dyDescent="0.3">
      <c r="A355" t="s">
        <v>1008</v>
      </c>
      <c r="B355" t="s">
        <v>377</v>
      </c>
      <c r="C355" t="s">
        <v>68</v>
      </c>
      <c r="D355" t="s">
        <v>45</v>
      </c>
      <c r="E355">
        <v>39</v>
      </c>
      <c r="F355" t="s">
        <v>2946</v>
      </c>
      <c r="G355" t="s">
        <v>1000</v>
      </c>
      <c r="H355" t="s">
        <v>2369</v>
      </c>
      <c r="I355" t="s">
        <v>517</v>
      </c>
      <c r="J355" t="s">
        <v>596</v>
      </c>
      <c r="K355" t="s">
        <v>48</v>
      </c>
      <c r="L355" s="1">
        <v>42715</v>
      </c>
      <c r="M355" s="2">
        <v>311044</v>
      </c>
      <c r="N355" s="2" t="s">
        <v>2948</v>
      </c>
      <c r="O355" t="s">
        <v>111</v>
      </c>
      <c r="P355" t="s">
        <v>21</v>
      </c>
      <c r="Q355" t="s">
        <v>79</v>
      </c>
      <c r="R355">
        <v>9.4</v>
      </c>
      <c r="S355" t="s">
        <v>2951</v>
      </c>
    </row>
    <row r="356" spans="1:19" x14ac:dyDescent="0.3">
      <c r="A356" t="s">
        <v>1009</v>
      </c>
      <c r="B356" t="s">
        <v>44</v>
      </c>
      <c r="C356" t="s">
        <v>93</v>
      </c>
      <c r="D356" t="s">
        <v>45</v>
      </c>
      <c r="E356">
        <v>37</v>
      </c>
      <c r="F356" t="s">
        <v>2946</v>
      </c>
      <c r="G356" t="s">
        <v>1002</v>
      </c>
      <c r="H356" t="s">
        <v>2647</v>
      </c>
      <c r="I356" t="s">
        <v>235</v>
      </c>
      <c r="J356" t="s">
        <v>163</v>
      </c>
      <c r="K356" t="s">
        <v>35</v>
      </c>
      <c r="M356" s="2">
        <v>367458</v>
      </c>
      <c r="N356" s="2" t="s">
        <v>2948</v>
      </c>
      <c r="O356" t="s">
        <v>41</v>
      </c>
      <c r="P356" t="s">
        <v>353</v>
      </c>
      <c r="Q356" t="s">
        <v>158</v>
      </c>
      <c r="R356">
        <v>6.8</v>
      </c>
      <c r="S356" t="s">
        <v>2953</v>
      </c>
    </row>
    <row r="357" spans="1:19" x14ac:dyDescent="0.3">
      <c r="A357" t="s">
        <v>1011</v>
      </c>
      <c r="B357" t="s">
        <v>359</v>
      </c>
      <c r="C357" t="s">
        <v>149</v>
      </c>
      <c r="D357" t="s">
        <v>24</v>
      </c>
      <c r="E357">
        <v>31</v>
      </c>
      <c r="F357" t="s">
        <v>2946</v>
      </c>
      <c r="G357" t="s">
        <v>1004</v>
      </c>
      <c r="H357" t="s">
        <v>2648</v>
      </c>
      <c r="I357" t="s">
        <v>271</v>
      </c>
      <c r="J357" t="s">
        <v>1005</v>
      </c>
      <c r="K357" t="s">
        <v>48</v>
      </c>
      <c r="L357" s="1">
        <v>42409</v>
      </c>
      <c r="M357" s="2">
        <v>387393</v>
      </c>
      <c r="N357" s="2" t="s">
        <v>2948</v>
      </c>
      <c r="O357" t="s">
        <v>130</v>
      </c>
      <c r="P357" t="s">
        <v>152</v>
      </c>
      <c r="Q357" t="s">
        <v>65</v>
      </c>
      <c r="R357">
        <v>9.6999999999999993</v>
      </c>
      <c r="S357" t="s">
        <v>2951</v>
      </c>
    </row>
    <row r="358" spans="1:19" x14ac:dyDescent="0.3">
      <c r="A358" t="s">
        <v>1014</v>
      </c>
      <c r="B358" t="s">
        <v>137</v>
      </c>
      <c r="C358" t="s">
        <v>277</v>
      </c>
      <c r="D358" t="s">
        <v>45</v>
      </c>
      <c r="E358">
        <v>23</v>
      </c>
      <c r="F358" t="s">
        <v>2945</v>
      </c>
      <c r="G358" t="s">
        <v>1007</v>
      </c>
      <c r="H358" t="s">
        <v>2369</v>
      </c>
      <c r="I358" t="s">
        <v>485</v>
      </c>
      <c r="J358" t="s">
        <v>486</v>
      </c>
      <c r="K358" t="s">
        <v>28</v>
      </c>
      <c r="L358" s="1">
        <v>43120</v>
      </c>
      <c r="M358" s="2">
        <v>618177</v>
      </c>
      <c r="N358" s="2" t="s">
        <v>2950</v>
      </c>
      <c r="O358" t="s">
        <v>253</v>
      </c>
      <c r="P358" t="s">
        <v>90</v>
      </c>
      <c r="Q358" t="s">
        <v>244</v>
      </c>
      <c r="R358">
        <v>8.3000000000000007</v>
      </c>
      <c r="S358" t="s">
        <v>2951</v>
      </c>
    </row>
    <row r="359" spans="1:19" x14ac:dyDescent="0.3">
      <c r="A359" t="s">
        <v>1016</v>
      </c>
      <c r="B359" t="s">
        <v>301</v>
      </c>
      <c r="C359" t="s">
        <v>149</v>
      </c>
      <c r="D359" t="s">
        <v>45</v>
      </c>
      <c r="E359">
        <v>30</v>
      </c>
      <c r="F359" t="s">
        <v>2945</v>
      </c>
      <c r="G359" t="s">
        <v>1844</v>
      </c>
      <c r="H359" t="s">
        <v>2649</v>
      </c>
      <c r="I359" t="s">
        <v>53</v>
      </c>
      <c r="J359" t="s">
        <v>712</v>
      </c>
      <c r="K359" t="s">
        <v>48</v>
      </c>
      <c r="L359" s="1">
        <v>44065</v>
      </c>
      <c r="M359" s="2">
        <v>604001</v>
      </c>
      <c r="N359" s="2" t="s">
        <v>2950</v>
      </c>
      <c r="O359" t="s">
        <v>130</v>
      </c>
      <c r="P359" t="s">
        <v>353</v>
      </c>
      <c r="Q359" t="s">
        <v>72</v>
      </c>
      <c r="R359">
        <v>5.7</v>
      </c>
      <c r="S359" t="s">
        <v>2953</v>
      </c>
    </row>
    <row r="360" spans="1:19" x14ac:dyDescent="0.3">
      <c r="A360" t="s">
        <v>1019</v>
      </c>
      <c r="B360" t="s">
        <v>137</v>
      </c>
      <c r="C360" t="s">
        <v>183</v>
      </c>
      <c r="D360" t="s">
        <v>24</v>
      </c>
      <c r="E360">
        <v>51</v>
      </c>
      <c r="F360" t="s">
        <v>2947</v>
      </c>
      <c r="G360" t="s">
        <v>1010</v>
      </c>
      <c r="H360" t="s">
        <v>2650</v>
      </c>
      <c r="I360" t="s">
        <v>271</v>
      </c>
      <c r="J360" t="s">
        <v>129</v>
      </c>
      <c r="K360" t="s">
        <v>28</v>
      </c>
      <c r="L360" s="1">
        <v>42222</v>
      </c>
      <c r="M360" s="2">
        <v>447583</v>
      </c>
      <c r="N360" s="2" t="s">
        <v>2948</v>
      </c>
      <c r="O360" t="s">
        <v>216</v>
      </c>
      <c r="P360" t="s">
        <v>205</v>
      </c>
      <c r="Q360" t="s">
        <v>72</v>
      </c>
      <c r="R360">
        <v>10.8</v>
      </c>
      <c r="S360" t="s">
        <v>2951</v>
      </c>
    </row>
    <row r="361" spans="1:19" x14ac:dyDescent="0.3">
      <c r="A361" t="s">
        <v>1022</v>
      </c>
      <c r="B361" t="s">
        <v>141</v>
      </c>
      <c r="C361" t="s">
        <v>38</v>
      </c>
      <c r="D361" t="s">
        <v>24</v>
      </c>
      <c r="E361">
        <v>50</v>
      </c>
      <c r="F361" t="s">
        <v>2947</v>
      </c>
      <c r="G361" t="s">
        <v>1012</v>
      </c>
      <c r="H361" t="s">
        <v>1013</v>
      </c>
      <c r="I361" t="s">
        <v>368</v>
      </c>
      <c r="J361" t="s">
        <v>267</v>
      </c>
      <c r="K361" t="s">
        <v>71</v>
      </c>
      <c r="L361" s="1">
        <v>43552</v>
      </c>
      <c r="M361" s="2">
        <v>426189</v>
      </c>
      <c r="N361" s="2" t="s">
        <v>2948</v>
      </c>
      <c r="O361" t="s">
        <v>130</v>
      </c>
      <c r="P361" t="s">
        <v>353</v>
      </c>
      <c r="Q361" t="s">
        <v>65</v>
      </c>
      <c r="R361">
        <v>7.1</v>
      </c>
      <c r="S361" t="s">
        <v>2953</v>
      </c>
    </row>
    <row r="362" spans="1:19" x14ac:dyDescent="0.3">
      <c r="A362" t="s">
        <v>1024</v>
      </c>
      <c r="B362" t="s">
        <v>259</v>
      </c>
      <c r="C362" t="s">
        <v>23</v>
      </c>
      <c r="D362" t="s">
        <v>24</v>
      </c>
      <c r="E362">
        <v>57</v>
      </c>
      <c r="F362" t="s">
        <v>2947</v>
      </c>
      <c r="G362" t="s">
        <v>1015</v>
      </c>
      <c r="H362" t="s">
        <v>2651</v>
      </c>
      <c r="I362" t="s">
        <v>485</v>
      </c>
      <c r="J362" t="s">
        <v>459</v>
      </c>
      <c r="K362" t="s">
        <v>71</v>
      </c>
      <c r="L362" s="1">
        <v>43062</v>
      </c>
      <c r="M362" s="2">
        <v>685073</v>
      </c>
      <c r="N362" s="2" t="s">
        <v>2950</v>
      </c>
      <c r="O362" t="s">
        <v>111</v>
      </c>
      <c r="P362" t="s">
        <v>90</v>
      </c>
      <c r="Q362" t="s">
        <v>65</v>
      </c>
      <c r="R362">
        <v>8.5</v>
      </c>
      <c r="S362" t="s">
        <v>2951</v>
      </c>
    </row>
    <row r="363" spans="1:19" x14ac:dyDescent="0.3">
      <c r="A363" t="s">
        <v>1026</v>
      </c>
      <c r="B363" t="s">
        <v>132</v>
      </c>
      <c r="C363" t="s">
        <v>68</v>
      </c>
      <c r="D363" t="s">
        <v>45</v>
      </c>
      <c r="E363">
        <v>42</v>
      </c>
      <c r="F363" t="s">
        <v>2946</v>
      </c>
      <c r="G363" t="s">
        <v>1017</v>
      </c>
      <c r="H363" t="s">
        <v>2652</v>
      </c>
      <c r="I363" t="s">
        <v>100</v>
      </c>
      <c r="J363" t="s">
        <v>1018</v>
      </c>
      <c r="K363" t="s">
        <v>48</v>
      </c>
      <c r="L363" s="1">
        <v>44720</v>
      </c>
      <c r="M363" s="2">
        <v>1495420</v>
      </c>
      <c r="N363" s="2" t="s">
        <v>2950</v>
      </c>
      <c r="O363" t="s">
        <v>216</v>
      </c>
      <c r="P363" t="s">
        <v>90</v>
      </c>
      <c r="Q363" t="s">
        <v>158</v>
      </c>
      <c r="R363">
        <v>3.9</v>
      </c>
      <c r="S363" t="s">
        <v>2952</v>
      </c>
    </row>
    <row r="364" spans="1:19" x14ac:dyDescent="0.3">
      <c r="A364" t="s">
        <v>1029</v>
      </c>
      <c r="B364" t="s">
        <v>359</v>
      </c>
      <c r="C364" t="s">
        <v>277</v>
      </c>
      <c r="D364" t="s">
        <v>24</v>
      </c>
      <c r="E364">
        <v>45</v>
      </c>
      <c r="F364" t="s">
        <v>2946</v>
      </c>
      <c r="G364" t="s">
        <v>1020</v>
      </c>
      <c r="H364" t="s">
        <v>1021</v>
      </c>
      <c r="I364" t="s">
        <v>517</v>
      </c>
      <c r="J364" t="s">
        <v>433</v>
      </c>
      <c r="K364" t="s">
        <v>48</v>
      </c>
      <c r="L364" s="1">
        <v>42551</v>
      </c>
      <c r="M364" s="2">
        <v>385579</v>
      </c>
      <c r="N364" s="2" t="s">
        <v>2948</v>
      </c>
      <c r="O364" t="s">
        <v>130</v>
      </c>
      <c r="P364" t="s">
        <v>353</v>
      </c>
      <c r="Q364" t="s">
        <v>65</v>
      </c>
      <c r="R364">
        <v>9.9</v>
      </c>
      <c r="S364" t="s">
        <v>2951</v>
      </c>
    </row>
    <row r="365" spans="1:19" x14ac:dyDescent="0.3">
      <c r="A365" t="s">
        <v>1033</v>
      </c>
      <c r="B365" t="s">
        <v>259</v>
      </c>
      <c r="C365" t="s">
        <v>108</v>
      </c>
      <c r="D365" t="s">
        <v>24</v>
      </c>
      <c r="E365">
        <v>54</v>
      </c>
      <c r="F365" t="s">
        <v>2947</v>
      </c>
      <c r="G365" t="s">
        <v>1023</v>
      </c>
      <c r="H365" t="s">
        <v>2653</v>
      </c>
      <c r="I365" t="s">
        <v>100</v>
      </c>
      <c r="J365" t="s">
        <v>1018</v>
      </c>
      <c r="K365" t="s">
        <v>28</v>
      </c>
      <c r="L365" s="1">
        <v>43858</v>
      </c>
      <c r="N365" s="2" t="s">
        <v>2369</v>
      </c>
      <c r="O365" t="s">
        <v>216</v>
      </c>
      <c r="P365" t="s">
        <v>152</v>
      </c>
      <c r="Q365" t="s">
        <v>244</v>
      </c>
      <c r="R365">
        <v>6.3</v>
      </c>
      <c r="S365" t="s">
        <v>2953</v>
      </c>
    </row>
    <row r="366" spans="1:19" x14ac:dyDescent="0.3">
      <c r="A366" t="s">
        <v>1036</v>
      </c>
      <c r="B366" t="s">
        <v>385</v>
      </c>
      <c r="C366" t="s">
        <v>516</v>
      </c>
      <c r="D366" t="s">
        <v>24</v>
      </c>
      <c r="F366" t="s">
        <v>2369</v>
      </c>
      <c r="G366" t="s">
        <v>1025</v>
      </c>
      <c r="H366" t="s">
        <v>2654</v>
      </c>
      <c r="I366" t="s">
        <v>271</v>
      </c>
      <c r="K366" t="s">
        <v>28</v>
      </c>
      <c r="L366" s="1">
        <v>43037</v>
      </c>
      <c r="M366" s="2">
        <v>488482</v>
      </c>
      <c r="N366" s="2" t="s">
        <v>2948</v>
      </c>
      <c r="O366" t="s">
        <v>130</v>
      </c>
      <c r="P366" t="s">
        <v>152</v>
      </c>
      <c r="Q366" t="s">
        <v>72</v>
      </c>
      <c r="R366">
        <v>8.5</v>
      </c>
      <c r="S366" t="s">
        <v>2951</v>
      </c>
    </row>
    <row r="367" spans="1:19" x14ac:dyDescent="0.3">
      <c r="A367" t="s">
        <v>2330</v>
      </c>
      <c r="B367" t="s">
        <v>124</v>
      </c>
      <c r="C367" t="s">
        <v>44</v>
      </c>
      <c r="D367" t="s">
        <v>45</v>
      </c>
      <c r="E367">
        <v>34</v>
      </c>
      <c r="F367" t="s">
        <v>2946</v>
      </c>
      <c r="G367" t="s">
        <v>1027</v>
      </c>
      <c r="H367" t="s">
        <v>2655</v>
      </c>
      <c r="I367" t="s">
        <v>53</v>
      </c>
      <c r="J367" t="s">
        <v>1028</v>
      </c>
      <c r="K367" t="s">
        <v>48</v>
      </c>
      <c r="L367" s="1">
        <v>43605</v>
      </c>
      <c r="M367" s="2">
        <v>634418</v>
      </c>
      <c r="N367" s="2" t="s">
        <v>2950</v>
      </c>
      <c r="O367" t="s">
        <v>111</v>
      </c>
      <c r="P367" t="s">
        <v>353</v>
      </c>
      <c r="Q367" t="s">
        <v>244</v>
      </c>
      <c r="R367">
        <v>7</v>
      </c>
      <c r="S367" t="s">
        <v>2953</v>
      </c>
    </row>
    <row r="368" spans="1:19" x14ac:dyDescent="0.3">
      <c r="A368" t="s">
        <v>1040</v>
      </c>
      <c r="B368" t="s">
        <v>141</v>
      </c>
      <c r="C368" t="s">
        <v>264</v>
      </c>
      <c r="D368" t="s">
        <v>24</v>
      </c>
      <c r="E368">
        <v>23</v>
      </c>
      <c r="F368" t="s">
        <v>2945</v>
      </c>
      <c r="G368" t="s">
        <v>1030</v>
      </c>
      <c r="H368" t="s">
        <v>1031</v>
      </c>
      <c r="I368" t="s">
        <v>271</v>
      </c>
      <c r="J368" t="s">
        <v>1032</v>
      </c>
      <c r="K368" t="s">
        <v>71</v>
      </c>
      <c r="L368" s="1">
        <v>44243</v>
      </c>
      <c r="M368" s="2">
        <v>516999</v>
      </c>
      <c r="N368" s="2" t="s">
        <v>2950</v>
      </c>
      <c r="O368" t="s">
        <v>111</v>
      </c>
      <c r="P368" t="s">
        <v>205</v>
      </c>
      <c r="Q368" t="s">
        <v>79</v>
      </c>
      <c r="R368">
        <v>5.2</v>
      </c>
      <c r="S368" t="s">
        <v>2953</v>
      </c>
    </row>
    <row r="369" spans="1:19" x14ac:dyDescent="0.3">
      <c r="A369" t="s">
        <v>1043</v>
      </c>
      <c r="B369" t="s">
        <v>154</v>
      </c>
      <c r="C369" t="s">
        <v>200</v>
      </c>
      <c r="D369" t="s">
        <v>45</v>
      </c>
      <c r="E369">
        <v>29</v>
      </c>
      <c r="F369" t="s">
        <v>2945</v>
      </c>
      <c r="G369" t="s">
        <v>1034</v>
      </c>
      <c r="H369" t="s">
        <v>1035</v>
      </c>
      <c r="I369" t="s">
        <v>53</v>
      </c>
      <c r="J369" t="s">
        <v>866</v>
      </c>
      <c r="K369" t="s">
        <v>71</v>
      </c>
      <c r="L369" s="1">
        <v>42317</v>
      </c>
      <c r="M369" s="2">
        <v>243125</v>
      </c>
      <c r="N369" s="2" t="s">
        <v>2948</v>
      </c>
      <c r="O369" t="s">
        <v>130</v>
      </c>
      <c r="P369" t="s">
        <v>205</v>
      </c>
      <c r="Q369" t="s">
        <v>244</v>
      </c>
      <c r="R369">
        <v>10.5</v>
      </c>
      <c r="S369" t="s">
        <v>2951</v>
      </c>
    </row>
    <row r="370" spans="1:19" x14ac:dyDescent="0.3">
      <c r="A370" t="s">
        <v>1046</v>
      </c>
      <c r="B370" t="s">
        <v>141</v>
      </c>
      <c r="C370" t="s">
        <v>62</v>
      </c>
      <c r="D370" t="s">
        <v>24</v>
      </c>
      <c r="E370">
        <v>32</v>
      </c>
      <c r="F370" t="s">
        <v>2946</v>
      </c>
      <c r="G370" t="s">
        <v>1037</v>
      </c>
      <c r="H370" t="s">
        <v>2656</v>
      </c>
      <c r="I370" t="s">
        <v>53</v>
      </c>
      <c r="J370" t="s">
        <v>426</v>
      </c>
      <c r="K370" t="s">
        <v>48</v>
      </c>
      <c r="L370" s="1">
        <v>43653</v>
      </c>
      <c r="M370" s="2">
        <v>302675</v>
      </c>
      <c r="N370" s="2" t="s">
        <v>2948</v>
      </c>
      <c r="O370" t="s">
        <v>130</v>
      </c>
      <c r="P370" t="s">
        <v>205</v>
      </c>
      <c r="Q370" t="s">
        <v>158</v>
      </c>
      <c r="R370">
        <v>6.9</v>
      </c>
      <c r="S370" t="s">
        <v>2953</v>
      </c>
    </row>
    <row r="371" spans="1:19" x14ac:dyDescent="0.3">
      <c r="A371" t="s">
        <v>1048</v>
      </c>
      <c r="B371" t="s">
        <v>187</v>
      </c>
      <c r="C371" t="s">
        <v>314</v>
      </c>
      <c r="D371" t="s">
        <v>45</v>
      </c>
      <c r="E371">
        <v>40</v>
      </c>
      <c r="F371" t="s">
        <v>2946</v>
      </c>
      <c r="G371" t="s">
        <v>1038</v>
      </c>
      <c r="H371" t="s">
        <v>1039</v>
      </c>
      <c r="I371" t="s">
        <v>485</v>
      </c>
      <c r="J371" t="s">
        <v>676</v>
      </c>
      <c r="K371" t="s">
        <v>48</v>
      </c>
      <c r="L371" s="1">
        <v>44409</v>
      </c>
      <c r="M371" s="2">
        <v>526316</v>
      </c>
      <c r="N371" s="2" t="s">
        <v>2950</v>
      </c>
      <c r="O371" t="s">
        <v>130</v>
      </c>
      <c r="P371" t="s">
        <v>21</v>
      </c>
      <c r="Q371" t="s">
        <v>72</v>
      </c>
      <c r="R371">
        <v>5.3</v>
      </c>
      <c r="S371" t="s">
        <v>2953</v>
      </c>
    </row>
    <row r="372" spans="1:19" x14ac:dyDescent="0.3">
      <c r="A372" t="s">
        <v>1052</v>
      </c>
      <c r="B372" t="s">
        <v>301</v>
      </c>
      <c r="C372" t="s">
        <v>408</v>
      </c>
      <c r="D372" t="s">
        <v>24</v>
      </c>
      <c r="E372">
        <v>58</v>
      </c>
      <c r="F372" t="s">
        <v>2947</v>
      </c>
      <c r="G372" t="s">
        <v>1041</v>
      </c>
      <c r="H372" t="s">
        <v>1042</v>
      </c>
      <c r="I372" t="s">
        <v>53</v>
      </c>
      <c r="J372" t="s">
        <v>866</v>
      </c>
      <c r="K372" t="s">
        <v>48</v>
      </c>
      <c r="L372" s="1">
        <v>44924</v>
      </c>
      <c r="M372" s="2">
        <v>655601</v>
      </c>
      <c r="N372" s="2" t="s">
        <v>2950</v>
      </c>
      <c r="O372" t="s">
        <v>111</v>
      </c>
      <c r="P372" t="s">
        <v>90</v>
      </c>
      <c r="Q372" t="s">
        <v>244</v>
      </c>
      <c r="R372">
        <v>3.4</v>
      </c>
      <c r="S372" t="s">
        <v>2952</v>
      </c>
    </row>
    <row r="373" spans="1:19" x14ac:dyDescent="0.3">
      <c r="A373" t="s">
        <v>1055</v>
      </c>
      <c r="B373" t="s">
        <v>67</v>
      </c>
      <c r="C373" t="s">
        <v>38</v>
      </c>
      <c r="D373" t="s">
        <v>45</v>
      </c>
      <c r="E373">
        <v>39</v>
      </c>
      <c r="F373" t="s">
        <v>2946</v>
      </c>
      <c r="G373" t="s">
        <v>1044</v>
      </c>
      <c r="H373" t="s">
        <v>1045</v>
      </c>
      <c r="I373" t="s">
        <v>235</v>
      </c>
      <c r="J373" t="s">
        <v>477</v>
      </c>
      <c r="K373" t="s">
        <v>71</v>
      </c>
      <c r="M373" s="2">
        <v>628379</v>
      </c>
      <c r="N373" s="2" t="s">
        <v>2950</v>
      </c>
      <c r="O373" t="s">
        <v>41</v>
      </c>
      <c r="P373" t="s">
        <v>21</v>
      </c>
      <c r="Q373" t="s">
        <v>244</v>
      </c>
      <c r="R373">
        <v>3.7</v>
      </c>
      <c r="S373" t="s">
        <v>2952</v>
      </c>
    </row>
    <row r="374" spans="1:19" x14ac:dyDescent="0.3">
      <c r="A374" t="s">
        <v>1057</v>
      </c>
      <c r="B374" t="s">
        <v>137</v>
      </c>
      <c r="C374" t="s">
        <v>213</v>
      </c>
      <c r="D374" t="s">
        <v>24</v>
      </c>
      <c r="E374">
        <v>29</v>
      </c>
      <c r="F374" t="s">
        <v>2945</v>
      </c>
      <c r="G374" t="s">
        <v>1047</v>
      </c>
      <c r="H374" t="s">
        <v>2657</v>
      </c>
      <c r="I374" t="s">
        <v>271</v>
      </c>
      <c r="J374" t="s">
        <v>143</v>
      </c>
      <c r="K374" t="s">
        <v>71</v>
      </c>
      <c r="L374" s="1">
        <v>42898</v>
      </c>
      <c r="M374" s="2">
        <v>369982</v>
      </c>
      <c r="N374" s="2" t="s">
        <v>2948</v>
      </c>
      <c r="O374" t="s">
        <v>253</v>
      </c>
      <c r="P374" t="s">
        <v>353</v>
      </c>
      <c r="Q374" t="s">
        <v>79</v>
      </c>
      <c r="R374">
        <v>8.9</v>
      </c>
      <c r="S374" t="s">
        <v>2951</v>
      </c>
    </row>
    <row r="375" spans="1:19" x14ac:dyDescent="0.3">
      <c r="A375" t="s">
        <v>2331</v>
      </c>
      <c r="B375" t="s">
        <v>555</v>
      </c>
      <c r="C375" t="s">
        <v>93</v>
      </c>
      <c r="D375" t="s">
        <v>24</v>
      </c>
      <c r="E375">
        <v>40</v>
      </c>
      <c r="F375" t="s">
        <v>2946</v>
      </c>
      <c r="G375" t="s">
        <v>1049</v>
      </c>
      <c r="H375" t="s">
        <v>1050</v>
      </c>
      <c r="I375" t="s">
        <v>592</v>
      </c>
      <c r="J375" t="s">
        <v>1051</v>
      </c>
      <c r="K375" t="s">
        <v>48</v>
      </c>
      <c r="L375" s="1">
        <v>43181</v>
      </c>
      <c r="M375" s="2">
        <v>2275320</v>
      </c>
      <c r="N375" s="2" t="s">
        <v>2950</v>
      </c>
      <c r="O375" t="s">
        <v>253</v>
      </c>
      <c r="P375" t="s">
        <v>90</v>
      </c>
      <c r="Q375" t="s">
        <v>244</v>
      </c>
      <c r="R375">
        <v>8.1</v>
      </c>
      <c r="S375" t="s">
        <v>2951</v>
      </c>
    </row>
    <row r="376" spans="1:19" x14ac:dyDescent="0.3">
      <c r="A376" t="s">
        <v>1059</v>
      </c>
      <c r="B376" t="s">
        <v>212</v>
      </c>
      <c r="C376" t="s">
        <v>62</v>
      </c>
      <c r="D376" t="s">
        <v>24</v>
      </c>
      <c r="E376">
        <v>57</v>
      </c>
      <c r="F376" t="s">
        <v>2947</v>
      </c>
      <c r="G376" t="s">
        <v>1053</v>
      </c>
      <c r="H376" t="s">
        <v>1054</v>
      </c>
      <c r="I376" t="s">
        <v>235</v>
      </c>
      <c r="J376" t="s">
        <v>880</v>
      </c>
      <c r="K376" t="s">
        <v>28</v>
      </c>
      <c r="L376" s="1">
        <v>43005</v>
      </c>
      <c r="M376" s="2">
        <v>874544</v>
      </c>
      <c r="N376" s="2" t="s">
        <v>2950</v>
      </c>
      <c r="O376" t="s">
        <v>41</v>
      </c>
      <c r="P376" t="s">
        <v>90</v>
      </c>
      <c r="Q376" t="s">
        <v>65</v>
      </c>
      <c r="R376">
        <v>8.6</v>
      </c>
      <c r="S376" t="s">
        <v>2951</v>
      </c>
    </row>
    <row r="377" spans="1:19" x14ac:dyDescent="0.3">
      <c r="A377" t="s">
        <v>1062</v>
      </c>
      <c r="B377" t="s">
        <v>377</v>
      </c>
      <c r="C377" t="s">
        <v>86</v>
      </c>
      <c r="D377" t="s">
        <v>45</v>
      </c>
      <c r="E377">
        <v>58</v>
      </c>
      <c r="F377" t="s">
        <v>2947</v>
      </c>
      <c r="G377" t="s">
        <v>1056</v>
      </c>
      <c r="H377" t="s">
        <v>2658</v>
      </c>
      <c r="I377" t="s">
        <v>53</v>
      </c>
      <c r="J377" t="s">
        <v>252</v>
      </c>
      <c r="K377" t="s">
        <v>71</v>
      </c>
      <c r="L377" s="1">
        <v>42317</v>
      </c>
      <c r="M377" s="2">
        <v>188205</v>
      </c>
      <c r="N377" s="2" t="s">
        <v>2949</v>
      </c>
      <c r="O377" t="s">
        <v>111</v>
      </c>
      <c r="P377" t="s">
        <v>205</v>
      </c>
      <c r="Q377" t="s">
        <v>72</v>
      </c>
      <c r="R377">
        <v>10.5</v>
      </c>
      <c r="S377" t="s">
        <v>2951</v>
      </c>
    </row>
    <row r="378" spans="1:19" x14ac:dyDescent="0.3">
      <c r="A378" t="s">
        <v>1064</v>
      </c>
      <c r="B378" t="s">
        <v>148</v>
      </c>
      <c r="C378" t="s">
        <v>108</v>
      </c>
      <c r="D378" t="s">
        <v>24</v>
      </c>
      <c r="E378">
        <v>43</v>
      </c>
      <c r="F378" t="s">
        <v>2946</v>
      </c>
      <c r="G378" t="s">
        <v>1058</v>
      </c>
      <c r="H378" t="s">
        <v>2659</v>
      </c>
      <c r="I378" t="s">
        <v>368</v>
      </c>
      <c r="J378" t="s">
        <v>303</v>
      </c>
      <c r="K378" t="s">
        <v>48</v>
      </c>
      <c r="L378" s="1">
        <v>42891</v>
      </c>
      <c r="M378" s="2">
        <v>511813</v>
      </c>
      <c r="N378" s="2" t="s">
        <v>2950</v>
      </c>
      <c r="O378" t="s">
        <v>216</v>
      </c>
      <c r="P378" t="s">
        <v>353</v>
      </c>
      <c r="Q378" t="s">
        <v>65</v>
      </c>
      <c r="R378">
        <v>8.9</v>
      </c>
      <c r="S378" t="s">
        <v>2951</v>
      </c>
    </row>
    <row r="379" spans="1:19" x14ac:dyDescent="0.3">
      <c r="A379" t="s">
        <v>1066</v>
      </c>
      <c r="B379" t="s">
        <v>67</v>
      </c>
      <c r="C379" t="s">
        <v>86</v>
      </c>
      <c r="D379" t="s">
        <v>45</v>
      </c>
      <c r="E379">
        <v>46</v>
      </c>
      <c r="F379" t="s">
        <v>2947</v>
      </c>
      <c r="G379" t="s">
        <v>534</v>
      </c>
      <c r="H379" t="s">
        <v>2660</v>
      </c>
      <c r="I379" t="s">
        <v>100</v>
      </c>
      <c r="J379" t="s">
        <v>64</v>
      </c>
      <c r="K379" t="s">
        <v>35</v>
      </c>
      <c r="L379" s="1">
        <v>42656</v>
      </c>
      <c r="M379" s="2">
        <v>576741</v>
      </c>
      <c r="N379" s="2" t="s">
        <v>2950</v>
      </c>
      <c r="O379" t="s">
        <v>130</v>
      </c>
      <c r="P379" t="s">
        <v>21</v>
      </c>
      <c r="Q379" t="s">
        <v>79</v>
      </c>
      <c r="R379">
        <v>9.6</v>
      </c>
      <c r="S379" t="s">
        <v>2951</v>
      </c>
    </row>
    <row r="380" spans="1:19" x14ac:dyDescent="0.3">
      <c r="A380" t="s">
        <v>1069</v>
      </c>
      <c r="B380" t="s">
        <v>207</v>
      </c>
      <c r="C380" t="s">
        <v>104</v>
      </c>
      <c r="D380" t="s">
        <v>45</v>
      </c>
      <c r="E380">
        <v>56</v>
      </c>
      <c r="F380" t="s">
        <v>2947</v>
      </c>
      <c r="G380" t="s">
        <v>1060</v>
      </c>
      <c r="H380" t="s">
        <v>1061</v>
      </c>
      <c r="I380" t="s">
        <v>235</v>
      </c>
      <c r="J380" t="s">
        <v>880</v>
      </c>
      <c r="K380" t="s">
        <v>35</v>
      </c>
      <c r="L380" s="1">
        <v>43543</v>
      </c>
      <c r="M380" s="2">
        <v>890085</v>
      </c>
      <c r="N380" s="2" t="s">
        <v>2950</v>
      </c>
      <c r="O380" t="s">
        <v>41</v>
      </c>
      <c r="P380" t="s">
        <v>353</v>
      </c>
      <c r="Q380" t="s">
        <v>158</v>
      </c>
      <c r="R380">
        <v>7.2</v>
      </c>
      <c r="S380" t="s">
        <v>2953</v>
      </c>
    </row>
    <row r="381" spans="1:19" x14ac:dyDescent="0.3">
      <c r="A381" t="s">
        <v>1071</v>
      </c>
      <c r="B381" t="s">
        <v>97</v>
      </c>
      <c r="C381" t="s">
        <v>133</v>
      </c>
      <c r="D381" t="s">
        <v>24</v>
      </c>
      <c r="E381">
        <v>49</v>
      </c>
      <c r="F381" t="s">
        <v>2947</v>
      </c>
      <c r="G381" t="s">
        <v>2396</v>
      </c>
      <c r="H381" t="s">
        <v>1063</v>
      </c>
      <c r="I381" t="s">
        <v>271</v>
      </c>
      <c r="J381" t="s">
        <v>700</v>
      </c>
      <c r="K381" t="s">
        <v>28</v>
      </c>
      <c r="L381" s="1">
        <v>43816</v>
      </c>
      <c r="M381" s="2">
        <v>154905</v>
      </c>
      <c r="N381" s="2" t="s">
        <v>2949</v>
      </c>
      <c r="O381" t="s">
        <v>41</v>
      </c>
      <c r="P381" t="s">
        <v>21</v>
      </c>
      <c r="Q381" t="s">
        <v>244</v>
      </c>
      <c r="R381">
        <v>6.4</v>
      </c>
      <c r="S381" t="s">
        <v>2953</v>
      </c>
    </row>
    <row r="382" spans="1:19" x14ac:dyDescent="0.3">
      <c r="A382" t="s">
        <v>1074</v>
      </c>
      <c r="B382" t="s">
        <v>555</v>
      </c>
      <c r="C382" t="s">
        <v>362</v>
      </c>
      <c r="D382" t="s">
        <v>24</v>
      </c>
      <c r="E382">
        <v>58</v>
      </c>
      <c r="F382" t="s">
        <v>2947</v>
      </c>
      <c r="G382" t="s">
        <v>1065</v>
      </c>
      <c r="H382" t="s">
        <v>2661</v>
      </c>
      <c r="I382" t="s">
        <v>394</v>
      </c>
      <c r="J382" t="s">
        <v>243</v>
      </c>
      <c r="K382" t="s">
        <v>28</v>
      </c>
      <c r="L382" s="1">
        <v>44240</v>
      </c>
      <c r="M382" s="2">
        <v>235130</v>
      </c>
      <c r="N382" s="2" t="s">
        <v>2948</v>
      </c>
      <c r="O382" t="s">
        <v>130</v>
      </c>
      <c r="P382" t="s">
        <v>90</v>
      </c>
      <c r="Q382" t="s">
        <v>79</v>
      </c>
      <c r="R382">
        <v>5.2</v>
      </c>
      <c r="S382" t="s">
        <v>2953</v>
      </c>
    </row>
    <row r="383" spans="1:19" x14ac:dyDescent="0.3">
      <c r="A383" t="s">
        <v>1077</v>
      </c>
      <c r="B383" t="s">
        <v>148</v>
      </c>
      <c r="C383" t="s">
        <v>82</v>
      </c>
      <c r="D383" t="s">
        <v>45</v>
      </c>
      <c r="E383">
        <v>24</v>
      </c>
      <c r="F383" t="s">
        <v>2945</v>
      </c>
      <c r="G383" t="s">
        <v>1067</v>
      </c>
      <c r="H383" t="s">
        <v>1068</v>
      </c>
      <c r="I383" t="s">
        <v>592</v>
      </c>
      <c r="J383" t="s">
        <v>110</v>
      </c>
      <c r="K383" t="s">
        <v>35</v>
      </c>
      <c r="M383" s="2">
        <v>828985</v>
      </c>
      <c r="N383" s="2" t="s">
        <v>2950</v>
      </c>
      <c r="O383" t="s">
        <v>41</v>
      </c>
      <c r="P383" t="s">
        <v>205</v>
      </c>
      <c r="Q383" t="s">
        <v>72</v>
      </c>
      <c r="R383">
        <v>5.2</v>
      </c>
      <c r="S383" t="s">
        <v>2953</v>
      </c>
    </row>
    <row r="384" spans="1:19" x14ac:dyDescent="0.3">
      <c r="A384" t="s">
        <v>1080</v>
      </c>
      <c r="B384" t="s">
        <v>301</v>
      </c>
      <c r="C384" t="s">
        <v>176</v>
      </c>
      <c r="D384" t="s">
        <v>45</v>
      </c>
      <c r="E384">
        <v>37</v>
      </c>
      <c r="F384" t="s">
        <v>2946</v>
      </c>
      <c r="G384" t="s">
        <v>2380</v>
      </c>
      <c r="H384" t="s">
        <v>1070</v>
      </c>
      <c r="I384" t="s">
        <v>53</v>
      </c>
      <c r="J384" t="s">
        <v>866</v>
      </c>
      <c r="K384" t="s">
        <v>28</v>
      </c>
      <c r="M384" s="2">
        <v>360808</v>
      </c>
      <c r="N384" s="2" t="s">
        <v>2948</v>
      </c>
      <c r="O384" t="s">
        <v>111</v>
      </c>
      <c r="P384" t="s">
        <v>21</v>
      </c>
      <c r="Q384" t="s">
        <v>72</v>
      </c>
      <c r="R384">
        <v>6.9</v>
      </c>
      <c r="S384" t="s">
        <v>2953</v>
      </c>
    </row>
    <row r="385" spans="1:19" x14ac:dyDescent="0.3">
      <c r="A385" t="s">
        <v>1082</v>
      </c>
      <c r="B385" t="s">
        <v>154</v>
      </c>
      <c r="C385" t="s">
        <v>221</v>
      </c>
      <c r="D385" t="s">
        <v>24</v>
      </c>
      <c r="E385">
        <v>27</v>
      </c>
      <c r="F385" t="s">
        <v>2945</v>
      </c>
      <c r="G385" t="s">
        <v>1072</v>
      </c>
      <c r="H385" t="s">
        <v>1073</v>
      </c>
      <c r="I385" t="s">
        <v>100</v>
      </c>
      <c r="J385" t="s">
        <v>117</v>
      </c>
      <c r="K385" t="s">
        <v>48</v>
      </c>
      <c r="L385" s="1">
        <v>44991</v>
      </c>
      <c r="M385" s="2">
        <v>104394</v>
      </c>
      <c r="N385" s="2" t="s">
        <v>2949</v>
      </c>
      <c r="O385" t="s">
        <v>253</v>
      </c>
      <c r="P385" t="s">
        <v>353</v>
      </c>
      <c r="Q385" t="s">
        <v>65</v>
      </c>
      <c r="R385">
        <v>3.2</v>
      </c>
      <c r="S385" t="s">
        <v>2952</v>
      </c>
    </row>
    <row r="386" spans="1:19" x14ac:dyDescent="0.3">
      <c r="A386" t="s">
        <v>1084</v>
      </c>
      <c r="B386" t="s">
        <v>92</v>
      </c>
      <c r="C386" t="s">
        <v>18</v>
      </c>
      <c r="D386" t="s">
        <v>24</v>
      </c>
      <c r="E386">
        <v>27</v>
      </c>
      <c r="F386" t="s">
        <v>2945</v>
      </c>
      <c r="G386" t="s">
        <v>1075</v>
      </c>
      <c r="H386" t="s">
        <v>1076</v>
      </c>
      <c r="I386" t="s">
        <v>592</v>
      </c>
      <c r="J386" t="s">
        <v>742</v>
      </c>
      <c r="K386" t="s">
        <v>28</v>
      </c>
      <c r="L386" s="1">
        <v>42584</v>
      </c>
      <c r="N386" s="2" t="s">
        <v>2369</v>
      </c>
      <c r="O386" t="s">
        <v>216</v>
      </c>
      <c r="P386" t="s">
        <v>90</v>
      </c>
      <c r="Q386" t="s">
        <v>244</v>
      </c>
      <c r="R386">
        <v>9.8000000000000007</v>
      </c>
      <c r="S386" t="s">
        <v>2951</v>
      </c>
    </row>
    <row r="387" spans="1:19" x14ac:dyDescent="0.3">
      <c r="A387" t="s">
        <v>1086</v>
      </c>
      <c r="B387" t="s">
        <v>190</v>
      </c>
      <c r="C387" t="s">
        <v>104</v>
      </c>
      <c r="D387" t="s">
        <v>24</v>
      </c>
      <c r="E387">
        <v>57</v>
      </c>
      <c r="F387" t="s">
        <v>2947</v>
      </c>
      <c r="G387" t="s">
        <v>324</v>
      </c>
      <c r="H387" t="s">
        <v>1078</v>
      </c>
      <c r="I387" t="s">
        <v>209</v>
      </c>
      <c r="J387" t="s">
        <v>1079</v>
      </c>
      <c r="K387" t="s">
        <v>71</v>
      </c>
      <c r="L387" s="1">
        <v>43704</v>
      </c>
      <c r="M387" s="2">
        <v>1974550</v>
      </c>
      <c r="N387" s="2" t="s">
        <v>2950</v>
      </c>
      <c r="O387" t="s">
        <v>41</v>
      </c>
      <c r="P387" t="s">
        <v>205</v>
      </c>
      <c r="Q387" t="s">
        <v>65</v>
      </c>
      <c r="R387">
        <v>6.7</v>
      </c>
      <c r="S387" t="s">
        <v>2953</v>
      </c>
    </row>
    <row r="388" spans="1:19" x14ac:dyDescent="0.3">
      <c r="A388" t="s">
        <v>1088</v>
      </c>
      <c r="B388" t="s">
        <v>224</v>
      </c>
      <c r="C388" t="s">
        <v>475</v>
      </c>
      <c r="D388" t="s">
        <v>24</v>
      </c>
      <c r="E388">
        <v>39</v>
      </c>
      <c r="F388" t="s">
        <v>2946</v>
      </c>
      <c r="G388" t="s">
        <v>2397</v>
      </c>
      <c r="H388" t="s">
        <v>1081</v>
      </c>
      <c r="I388" t="s">
        <v>235</v>
      </c>
      <c r="J388" t="s">
        <v>59</v>
      </c>
      <c r="K388" t="s">
        <v>48</v>
      </c>
      <c r="L388" s="1">
        <v>42988</v>
      </c>
      <c r="M388" s="2">
        <v>553213</v>
      </c>
      <c r="N388" s="2" t="s">
        <v>2950</v>
      </c>
      <c r="O388" t="s">
        <v>111</v>
      </c>
      <c r="P388" t="s">
        <v>205</v>
      </c>
      <c r="Q388" t="s">
        <v>79</v>
      </c>
      <c r="R388">
        <v>8.6999999999999993</v>
      </c>
      <c r="S388" t="s">
        <v>2951</v>
      </c>
    </row>
    <row r="389" spans="1:19" x14ac:dyDescent="0.3">
      <c r="A389" t="s">
        <v>1090</v>
      </c>
      <c r="B389" t="s">
        <v>127</v>
      </c>
      <c r="C389" t="s">
        <v>93</v>
      </c>
      <c r="D389" t="s">
        <v>24</v>
      </c>
      <c r="E389">
        <v>43</v>
      </c>
      <c r="F389" t="s">
        <v>2946</v>
      </c>
      <c r="G389" t="s">
        <v>1083</v>
      </c>
      <c r="H389" t="s">
        <v>2662</v>
      </c>
      <c r="I389" t="s">
        <v>271</v>
      </c>
      <c r="J389" t="s">
        <v>70</v>
      </c>
      <c r="K389" t="s">
        <v>35</v>
      </c>
      <c r="L389" s="1">
        <v>42900</v>
      </c>
      <c r="M389" s="2">
        <v>346366</v>
      </c>
      <c r="N389" s="2" t="s">
        <v>2948</v>
      </c>
      <c r="O389" t="s">
        <v>111</v>
      </c>
      <c r="P389" t="s">
        <v>353</v>
      </c>
      <c r="Q389" t="s">
        <v>244</v>
      </c>
      <c r="R389">
        <v>8.9</v>
      </c>
      <c r="S389" t="s">
        <v>2951</v>
      </c>
    </row>
    <row r="390" spans="1:19" x14ac:dyDescent="0.3">
      <c r="A390" t="s">
        <v>2332</v>
      </c>
      <c r="B390" t="s">
        <v>297</v>
      </c>
      <c r="C390" t="s">
        <v>50</v>
      </c>
      <c r="D390" t="s">
        <v>24</v>
      </c>
      <c r="E390">
        <v>26</v>
      </c>
      <c r="F390" t="s">
        <v>2945</v>
      </c>
      <c r="G390" t="s">
        <v>1085</v>
      </c>
      <c r="H390" t="s">
        <v>2663</v>
      </c>
      <c r="I390" t="s">
        <v>368</v>
      </c>
      <c r="J390" t="s">
        <v>192</v>
      </c>
      <c r="K390" t="s">
        <v>71</v>
      </c>
      <c r="L390" s="1">
        <v>43513</v>
      </c>
      <c r="M390" s="2">
        <v>671881</v>
      </c>
      <c r="N390" s="2" t="s">
        <v>2950</v>
      </c>
      <c r="O390" t="s">
        <v>41</v>
      </c>
      <c r="P390" t="s">
        <v>205</v>
      </c>
      <c r="Q390" t="s">
        <v>244</v>
      </c>
      <c r="R390">
        <v>7.2</v>
      </c>
      <c r="S390" t="s">
        <v>2953</v>
      </c>
    </row>
    <row r="391" spans="1:19" x14ac:dyDescent="0.3">
      <c r="A391" t="s">
        <v>1093</v>
      </c>
      <c r="B391" t="s">
        <v>269</v>
      </c>
      <c r="C391" t="s">
        <v>82</v>
      </c>
      <c r="D391" t="s">
        <v>45</v>
      </c>
      <c r="E391">
        <v>34</v>
      </c>
      <c r="F391" t="s">
        <v>2946</v>
      </c>
      <c r="G391" t="s">
        <v>1087</v>
      </c>
      <c r="H391" t="s">
        <v>2369</v>
      </c>
      <c r="I391" t="s">
        <v>209</v>
      </c>
      <c r="J391" t="s">
        <v>607</v>
      </c>
      <c r="K391" t="s">
        <v>71</v>
      </c>
      <c r="L391" s="1">
        <v>42801</v>
      </c>
      <c r="M391" s="2">
        <v>263630</v>
      </c>
      <c r="N391" s="2" t="s">
        <v>2948</v>
      </c>
      <c r="O391" t="s">
        <v>41</v>
      </c>
      <c r="P391" t="s">
        <v>353</v>
      </c>
      <c r="Q391" t="s">
        <v>72</v>
      </c>
      <c r="R391">
        <v>9.1999999999999993</v>
      </c>
      <c r="S391" t="s">
        <v>2951</v>
      </c>
    </row>
    <row r="392" spans="1:19" x14ac:dyDescent="0.3">
      <c r="A392" t="s">
        <v>1095</v>
      </c>
      <c r="B392" t="s">
        <v>555</v>
      </c>
      <c r="C392" t="s">
        <v>277</v>
      </c>
      <c r="D392" t="s">
        <v>24</v>
      </c>
      <c r="E392">
        <v>31</v>
      </c>
      <c r="F392" t="s">
        <v>2946</v>
      </c>
      <c r="G392" t="s">
        <v>1089</v>
      </c>
      <c r="H392" t="s">
        <v>2369</v>
      </c>
      <c r="I392" t="s">
        <v>485</v>
      </c>
      <c r="J392" t="s">
        <v>398</v>
      </c>
      <c r="K392" t="s">
        <v>71</v>
      </c>
      <c r="L392" s="1">
        <v>44723</v>
      </c>
      <c r="M392" s="2">
        <v>203527</v>
      </c>
      <c r="N392" s="2" t="s">
        <v>2948</v>
      </c>
      <c r="O392" t="s">
        <v>130</v>
      </c>
      <c r="P392" t="s">
        <v>152</v>
      </c>
      <c r="Q392" t="s">
        <v>72</v>
      </c>
      <c r="R392">
        <v>3.9</v>
      </c>
      <c r="S392" t="s">
        <v>2952</v>
      </c>
    </row>
    <row r="393" spans="1:19" x14ac:dyDescent="0.3">
      <c r="A393" t="s">
        <v>1098</v>
      </c>
      <c r="B393" t="s">
        <v>103</v>
      </c>
      <c r="C393" t="s">
        <v>348</v>
      </c>
      <c r="D393" t="s">
        <v>45</v>
      </c>
      <c r="E393">
        <v>32</v>
      </c>
      <c r="F393" t="s">
        <v>2946</v>
      </c>
      <c r="G393" t="s">
        <v>2439</v>
      </c>
      <c r="H393" t="s">
        <v>2664</v>
      </c>
      <c r="I393" t="s">
        <v>53</v>
      </c>
      <c r="J393" t="s">
        <v>779</v>
      </c>
      <c r="K393" t="s">
        <v>48</v>
      </c>
      <c r="L393" s="1">
        <v>42171</v>
      </c>
      <c r="M393" s="2">
        <v>110884</v>
      </c>
      <c r="N393" s="2" t="s">
        <v>2949</v>
      </c>
      <c r="O393" t="s">
        <v>111</v>
      </c>
      <c r="P393" t="s">
        <v>205</v>
      </c>
      <c r="Q393" t="s">
        <v>79</v>
      </c>
      <c r="R393">
        <v>10.9</v>
      </c>
      <c r="S393" t="s">
        <v>2951</v>
      </c>
    </row>
    <row r="394" spans="1:19" x14ac:dyDescent="0.3">
      <c r="A394" t="s">
        <v>1100</v>
      </c>
      <c r="B394" t="s">
        <v>17</v>
      </c>
      <c r="C394" t="s">
        <v>183</v>
      </c>
      <c r="D394" t="s">
        <v>24</v>
      </c>
      <c r="E394">
        <v>39</v>
      </c>
      <c r="F394" t="s">
        <v>2946</v>
      </c>
      <c r="G394" t="s">
        <v>1091</v>
      </c>
      <c r="H394" t="s">
        <v>1092</v>
      </c>
      <c r="I394" t="s">
        <v>368</v>
      </c>
      <c r="J394" t="s">
        <v>20</v>
      </c>
      <c r="K394" t="s">
        <v>48</v>
      </c>
      <c r="L394" s="1">
        <v>44616</v>
      </c>
      <c r="M394" s="2">
        <v>373391</v>
      </c>
      <c r="N394" s="2" t="s">
        <v>2948</v>
      </c>
      <c r="O394" t="s">
        <v>111</v>
      </c>
      <c r="P394" t="s">
        <v>205</v>
      </c>
      <c r="Q394" t="s">
        <v>244</v>
      </c>
      <c r="R394">
        <v>4.2</v>
      </c>
      <c r="S394" t="s">
        <v>2952</v>
      </c>
    </row>
    <row r="395" spans="1:19" x14ac:dyDescent="0.3">
      <c r="A395" t="s">
        <v>1102</v>
      </c>
      <c r="B395" t="s">
        <v>127</v>
      </c>
      <c r="C395" t="s">
        <v>516</v>
      </c>
      <c r="D395" t="s">
        <v>45</v>
      </c>
      <c r="E395">
        <v>51</v>
      </c>
      <c r="F395" t="s">
        <v>2947</v>
      </c>
      <c r="G395" t="s">
        <v>1094</v>
      </c>
      <c r="H395" t="s">
        <v>2369</v>
      </c>
      <c r="I395" t="s">
        <v>100</v>
      </c>
      <c r="J395" t="s">
        <v>343</v>
      </c>
      <c r="K395" t="s">
        <v>71</v>
      </c>
      <c r="L395" s="1">
        <v>43648</v>
      </c>
      <c r="M395" s="2">
        <v>193994</v>
      </c>
      <c r="N395" s="2" t="s">
        <v>2949</v>
      </c>
      <c r="O395" t="s">
        <v>111</v>
      </c>
      <c r="P395" t="s">
        <v>90</v>
      </c>
      <c r="Q395" t="s">
        <v>65</v>
      </c>
      <c r="R395">
        <v>6.9</v>
      </c>
      <c r="S395" t="s">
        <v>2953</v>
      </c>
    </row>
    <row r="396" spans="1:19" x14ac:dyDescent="0.3">
      <c r="A396" t="s">
        <v>1104</v>
      </c>
      <c r="B396" t="s">
        <v>141</v>
      </c>
      <c r="C396" t="s">
        <v>318</v>
      </c>
      <c r="D396" t="s">
        <v>24</v>
      </c>
      <c r="E396">
        <v>38</v>
      </c>
      <c r="F396" t="s">
        <v>2946</v>
      </c>
      <c r="G396" t="s">
        <v>1096</v>
      </c>
      <c r="H396" t="s">
        <v>1097</v>
      </c>
      <c r="I396" t="s">
        <v>394</v>
      </c>
      <c r="J396" t="s">
        <v>883</v>
      </c>
      <c r="K396" t="s">
        <v>35</v>
      </c>
      <c r="M396" s="2">
        <v>294843</v>
      </c>
      <c r="N396" s="2" t="s">
        <v>2948</v>
      </c>
      <c r="O396" t="s">
        <v>216</v>
      </c>
      <c r="P396" t="s">
        <v>21</v>
      </c>
      <c r="Q396" t="s">
        <v>65</v>
      </c>
      <c r="R396">
        <v>6.3</v>
      </c>
      <c r="S396" t="s">
        <v>2953</v>
      </c>
    </row>
    <row r="397" spans="1:19" x14ac:dyDescent="0.3">
      <c r="A397" t="s">
        <v>1106</v>
      </c>
      <c r="B397" t="s">
        <v>281</v>
      </c>
      <c r="C397" t="s">
        <v>104</v>
      </c>
      <c r="D397" t="s">
        <v>24</v>
      </c>
      <c r="E397">
        <v>23</v>
      </c>
      <c r="F397" t="s">
        <v>2945</v>
      </c>
      <c r="G397" t="s">
        <v>1099</v>
      </c>
      <c r="H397" t="s">
        <v>2665</v>
      </c>
      <c r="I397" t="s">
        <v>485</v>
      </c>
      <c r="J397" t="s">
        <v>257</v>
      </c>
      <c r="K397" t="s">
        <v>71</v>
      </c>
      <c r="L397" s="1">
        <v>43846</v>
      </c>
      <c r="M397" s="2">
        <v>854672</v>
      </c>
      <c r="N397" s="2" t="s">
        <v>2950</v>
      </c>
      <c r="O397" t="s">
        <v>253</v>
      </c>
      <c r="P397" t="s">
        <v>21</v>
      </c>
      <c r="Q397" t="s">
        <v>72</v>
      </c>
      <c r="R397">
        <v>6.3</v>
      </c>
      <c r="S397" t="s">
        <v>2953</v>
      </c>
    </row>
    <row r="398" spans="1:19" x14ac:dyDescent="0.3">
      <c r="A398" t="s">
        <v>1109</v>
      </c>
      <c r="B398" t="s">
        <v>224</v>
      </c>
      <c r="C398" t="s">
        <v>57</v>
      </c>
      <c r="D398" t="s">
        <v>24</v>
      </c>
      <c r="E398">
        <v>58</v>
      </c>
      <c r="F398" t="s">
        <v>2947</v>
      </c>
      <c r="G398" t="s">
        <v>1101</v>
      </c>
      <c r="H398" t="s">
        <v>2666</v>
      </c>
      <c r="I398" t="s">
        <v>53</v>
      </c>
      <c r="J398" t="s">
        <v>426</v>
      </c>
      <c r="K398" t="s">
        <v>28</v>
      </c>
      <c r="L398" s="1">
        <v>42718</v>
      </c>
      <c r="M398" s="2">
        <v>156287</v>
      </c>
      <c r="N398" s="2" t="s">
        <v>2949</v>
      </c>
      <c r="O398" t="s">
        <v>41</v>
      </c>
      <c r="P398" t="s">
        <v>152</v>
      </c>
      <c r="Q398" t="s">
        <v>72</v>
      </c>
      <c r="R398">
        <v>9.4</v>
      </c>
      <c r="S398" t="s">
        <v>2951</v>
      </c>
    </row>
    <row r="399" spans="1:19" x14ac:dyDescent="0.3">
      <c r="A399" t="s">
        <v>1110</v>
      </c>
      <c r="B399" t="s">
        <v>119</v>
      </c>
      <c r="C399" t="s">
        <v>314</v>
      </c>
      <c r="D399" t="s">
        <v>45</v>
      </c>
      <c r="E399">
        <v>56</v>
      </c>
      <c r="F399" t="s">
        <v>2947</v>
      </c>
      <c r="G399" t="s">
        <v>1103</v>
      </c>
      <c r="H399" t="s">
        <v>2667</v>
      </c>
      <c r="I399" t="s">
        <v>271</v>
      </c>
      <c r="J399" t="s">
        <v>806</v>
      </c>
      <c r="K399" t="s">
        <v>35</v>
      </c>
      <c r="L399" s="1">
        <v>43425</v>
      </c>
      <c r="M399" s="2">
        <v>553813</v>
      </c>
      <c r="N399" s="2" t="s">
        <v>2950</v>
      </c>
      <c r="O399" t="s">
        <v>253</v>
      </c>
      <c r="P399" t="s">
        <v>90</v>
      </c>
      <c r="Q399" t="s">
        <v>244</v>
      </c>
      <c r="R399">
        <v>7.5</v>
      </c>
      <c r="S399" t="s">
        <v>2953</v>
      </c>
    </row>
    <row r="400" spans="1:19" x14ac:dyDescent="0.3">
      <c r="A400" t="s">
        <v>1111</v>
      </c>
      <c r="B400" t="s">
        <v>212</v>
      </c>
      <c r="C400" t="s">
        <v>176</v>
      </c>
      <c r="D400" t="s">
        <v>45</v>
      </c>
      <c r="E400">
        <v>42</v>
      </c>
      <c r="F400" t="s">
        <v>2946</v>
      </c>
      <c r="G400" t="s">
        <v>1105</v>
      </c>
      <c r="H400" t="s">
        <v>2668</v>
      </c>
      <c r="I400" t="s">
        <v>517</v>
      </c>
      <c r="J400" t="s">
        <v>433</v>
      </c>
      <c r="K400" t="s">
        <v>35</v>
      </c>
      <c r="M400" s="2">
        <v>637989</v>
      </c>
      <c r="N400" s="2" t="s">
        <v>2950</v>
      </c>
      <c r="O400" t="s">
        <v>216</v>
      </c>
      <c r="P400" t="s">
        <v>90</v>
      </c>
      <c r="Q400" t="s">
        <v>72</v>
      </c>
      <c r="R400">
        <v>4.2</v>
      </c>
      <c r="S400" t="s">
        <v>2952</v>
      </c>
    </row>
    <row r="401" spans="1:19" x14ac:dyDescent="0.3">
      <c r="A401" t="s">
        <v>1113</v>
      </c>
      <c r="B401" t="s">
        <v>326</v>
      </c>
      <c r="C401" t="s">
        <v>249</v>
      </c>
      <c r="D401" t="s">
        <v>24</v>
      </c>
      <c r="E401">
        <v>43</v>
      </c>
      <c r="F401" t="s">
        <v>2946</v>
      </c>
      <c r="G401" t="s">
        <v>2398</v>
      </c>
      <c r="H401" t="s">
        <v>1107</v>
      </c>
      <c r="I401" t="s">
        <v>235</v>
      </c>
      <c r="J401" t="s">
        <v>1108</v>
      </c>
      <c r="K401" t="s">
        <v>28</v>
      </c>
      <c r="L401" s="1">
        <v>44350</v>
      </c>
      <c r="M401" s="2">
        <v>188110</v>
      </c>
      <c r="N401" s="2" t="s">
        <v>2949</v>
      </c>
      <c r="O401" t="s">
        <v>216</v>
      </c>
      <c r="P401" t="s">
        <v>90</v>
      </c>
      <c r="Q401" t="s">
        <v>79</v>
      </c>
      <c r="R401">
        <v>4.9000000000000004</v>
      </c>
      <c r="S401" t="s">
        <v>2952</v>
      </c>
    </row>
    <row r="402" spans="1:19" x14ac:dyDescent="0.3">
      <c r="A402" t="s">
        <v>1114</v>
      </c>
      <c r="B402" t="s">
        <v>207</v>
      </c>
      <c r="C402" t="s">
        <v>221</v>
      </c>
      <c r="D402" t="s">
        <v>24</v>
      </c>
      <c r="E402">
        <v>34</v>
      </c>
      <c r="F402" t="s">
        <v>2946</v>
      </c>
      <c r="G402" t="s">
        <v>2369</v>
      </c>
      <c r="H402" t="s">
        <v>2669</v>
      </c>
      <c r="I402" t="s">
        <v>394</v>
      </c>
      <c r="J402" t="s">
        <v>727</v>
      </c>
      <c r="K402" t="s">
        <v>71</v>
      </c>
      <c r="L402" s="1">
        <v>42923</v>
      </c>
      <c r="M402" s="2">
        <v>87971</v>
      </c>
      <c r="N402" s="2" t="s">
        <v>2949</v>
      </c>
      <c r="O402" t="s">
        <v>130</v>
      </c>
      <c r="P402" t="s">
        <v>353</v>
      </c>
      <c r="Q402" t="s">
        <v>65</v>
      </c>
      <c r="R402">
        <v>8.9</v>
      </c>
      <c r="S402" t="s">
        <v>2951</v>
      </c>
    </row>
    <row r="403" spans="1:19" x14ac:dyDescent="0.3">
      <c r="A403" t="s">
        <v>1115</v>
      </c>
      <c r="B403" t="s">
        <v>127</v>
      </c>
      <c r="C403" t="s">
        <v>213</v>
      </c>
      <c r="D403" t="s">
        <v>45</v>
      </c>
      <c r="E403">
        <v>28</v>
      </c>
      <c r="F403" t="s">
        <v>2945</v>
      </c>
      <c r="G403" t="s">
        <v>2440</v>
      </c>
      <c r="H403" t="s">
        <v>2670</v>
      </c>
      <c r="I403" t="s">
        <v>368</v>
      </c>
      <c r="J403" t="s">
        <v>303</v>
      </c>
      <c r="K403" t="s">
        <v>35</v>
      </c>
      <c r="L403" s="1">
        <v>42618</v>
      </c>
      <c r="M403" s="2">
        <v>810989</v>
      </c>
      <c r="N403" s="2" t="s">
        <v>2950</v>
      </c>
      <c r="O403" t="s">
        <v>111</v>
      </c>
      <c r="P403" t="s">
        <v>205</v>
      </c>
      <c r="Q403" t="s">
        <v>79</v>
      </c>
      <c r="R403">
        <v>9.6999999999999993</v>
      </c>
      <c r="S403" t="s">
        <v>2951</v>
      </c>
    </row>
    <row r="404" spans="1:19" x14ac:dyDescent="0.3">
      <c r="A404" t="s">
        <v>1117</v>
      </c>
      <c r="B404" t="s">
        <v>286</v>
      </c>
      <c r="C404" t="s">
        <v>318</v>
      </c>
      <c r="D404" t="s">
        <v>24</v>
      </c>
      <c r="E404">
        <v>43</v>
      </c>
      <c r="F404" t="s">
        <v>2946</v>
      </c>
      <c r="G404" t="s">
        <v>1112</v>
      </c>
      <c r="H404" t="s">
        <v>2671</v>
      </c>
      <c r="I404" t="s">
        <v>394</v>
      </c>
      <c r="J404" t="s">
        <v>627</v>
      </c>
      <c r="K404" t="s">
        <v>71</v>
      </c>
      <c r="L404" s="1">
        <v>42571</v>
      </c>
      <c r="M404" s="2">
        <v>596645</v>
      </c>
      <c r="N404" s="2" t="s">
        <v>2950</v>
      </c>
      <c r="O404" t="s">
        <v>253</v>
      </c>
      <c r="P404" t="s">
        <v>21</v>
      </c>
      <c r="Q404" t="s">
        <v>158</v>
      </c>
      <c r="R404">
        <v>9.8000000000000007</v>
      </c>
      <c r="S404" t="s">
        <v>2951</v>
      </c>
    </row>
    <row r="405" spans="1:19" x14ac:dyDescent="0.3">
      <c r="A405" t="s">
        <v>1119</v>
      </c>
      <c r="B405" t="s">
        <v>127</v>
      </c>
      <c r="C405" t="s">
        <v>57</v>
      </c>
      <c r="D405" t="s">
        <v>24</v>
      </c>
      <c r="E405">
        <v>24</v>
      </c>
      <c r="F405" t="s">
        <v>2945</v>
      </c>
      <c r="G405" t="s">
        <v>813</v>
      </c>
      <c r="H405" t="s">
        <v>2672</v>
      </c>
      <c r="I405" t="s">
        <v>235</v>
      </c>
      <c r="J405" t="s">
        <v>163</v>
      </c>
      <c r="K405" t="s">
        <v>48</v>
      </c>
      <c r="L405" s="1">
        <v>43397</v>
      </c>
      <c r="M405" s="2">
        <v>583871</v>
      </c>
      <c r="N405" s="2" t="s">
        <v>2950</v>
      </c>
      <c r="O405" t="s">
        <v>198</v>
      </c>
      <c r="P405" t="s">
        <v>152</v>
      </c>
      <c r="Q405" t="s">
        <v>244</v>
      </c>
      <c r="R405">
        <v>7.6</v>
      </c>
      <c r="S405" t="s">
        <v>2953</v>
      </c>
    </row>
    <row r="406" spans="1:19" x14ac:dyDescent="0.3">
      <c r="A406" t="s">
        <v>1121</v>
      </c>
      <c r="B406" t="s">
        <v>37</v>
      </c>
      <c r="C406" t="s">
        <v>114</v>
      </c>
      <c r="D406" t="s">
        <v>24</v>
      </c>
      <c r="E406">
        <v>34</v>
      </c>
      <c r="F406" t="s">
        <v>2946</v>
      </c>
      <c r="G406" t="s">
        <v>452</v>
      </c>
      <c r="H406" t="s">
        <v>2673</v>
      </c>
      <c r="I406" t="s">
        <v>271</v>
      </c>
      <c r="J406" t="s">
        <v>785</v>
      </c>
      <c r="K406" t="s">
        <v>35</v>
      </c>
      <c r="L406" s="1">
        <v>42262</v>
      </c>
      <c r="M406" s="2">
        <v>212430</v>
      </c>
      <c r="N406" s="2" t="s">
        <v>2948</v>
      </c>
      <c r="O406" t="s">
        <v>216</v>
      </c>
      <c r="P406" t="s">
        <v>21</v>
      </c>
      <c r="Q406" t="s">
        <v>72</v>
      </c>
      <c r="R406">
        <v>10.7</v>
      </c>
      <c r="S406" t="s">
        <v>2951</v>
      </c>
    </row>
    <row r="407" spans="1:19" x14ac:dyDescent="0.3">
      <c r="A407" t="s">
        <v>1122</v>
      </c>
      <c r="B407" t="s">
        <v>81</v>
      </c>
      <c r="C407" t="s">
        <v>327</v>
      </c>
      <c r="D407" t="s">
        <v>24</v>
      </c>
      <c r="E407">
        <v>51</v>
      </c>
      <c r="F407" t="s">
        <v>2947</v>
      </c>
      <c r="G407" t="s">
        <v>1116</v>
      </c>
      <c r="H407" t="s">
        <v>2674</v>
      </c>
      <c r="I407" t="s">
        <v>53</v>
      </c>
      <c r="J407" t="s">
        <v>426</v>
      </c>
      <c r="K407" t="s">
        <v>71</v>
      </c>
      <c r="L407" s="1">
        <v>44748</v>
      </c>
      <c r="M407" s="2">
        <v>857939</v>
      </c>
      <c r="N407" s="2" t="s">
        <v>2950</v>
      </c>
      <c r="O407" t="s">
        <v>41</v>
      </c>
      <c r="P407" t="s">
        <v>205</v>
      </c>
      <c r="Q407" t="s">
        <v>158</v>
      </c>
      <c r="R407">
        <v>3.9</v>
      </c>
      <c r="S407" t="s">
        <v>2952</v>
      </c>
    </row>
    <row r="408" spans="1:19" x14ac:dyDescent="0.3">
      <c r="A408" t="s">
        <v>1123</v>
      </c>
      <c r="B408" t="s">
        <v>124</v>
      </c>
      <c r="C408" t="s">
        <v>68</v>
      </c>
      <c r="D408" t="s">
        <v>24</v>
      </c>
      <c r="E408">
        <v>37</v>
      </c>
      <c r="F408" t="s">
        <v>2946</v>
      </c>
      <c r="G408" t="s">
        <v>1118</v>
      </c>
      <c r="H408" t="s">
        <v>2675</v>
      </c>
      <c r="I408" t="s">
        <v>100</v>
      </c>
      <c r="J408" t="s">
        <v>692</v>
      </c>
      <c r="K408" t="s">
        <v>35</v>
      </c>
      <c r="L408" s="1">
        <v>43494</v>
      </c>
      <c r="M408" s="2">
        <v>816593</v>
      </c>
      <c r="N408" s="2" t="s">
        <v>2950</v>
      </c>
      <c r="O408" t="s">
        <v>41</v>
      </c>
      <c r="P408" t="s">
        <v>152</v>
      </c>
      <c r="Q408" t="s">
        <v>79</v>
      </c>
      <c r="R408">
        <v>7.3</v>
      </c>
      <c r="S408" t="s">
        <v>2953</v>
      </c>
    </row>
    <row r="409" spans="1:19" x14ac:dyDescent="0.3">
      <c r="A409" t="s">
        <v>1125</v>
      </c>
      <c r="B409" t="s">
        <v>224</v>
      </c>
      <c r="C409" t="s">
        <v>18</v>
      </c>
      <c r="D409" t="s">
        <v>24</v>
      </c>
      <c r="E409">
        <v>57</v>
      </c>
      <c r="F409" t="s">
        <v>2947</v>
      </c>
      <c r="G409" t="s">
        <v>1120</v>
      </c>
      <c r="H409" t="s">
        <v>2676</v>
      </c>
      <c r="I409" t="s">
        <v>235</v>
      </c>
      <c r="J409" t="s">
        <v>445</v>
      </c>
      <c r="K409" t="s">
        <v>35</v>
      </c>
      <c r="L409" s="1">
        <v>43343</v>
      </c>
      <c r="M409" s="2">
        <v>224992</v>
      </c>
      <c r="N409" s="2" t="s">
        <v>2948</v>
      </c>
      <c r="O409" t="s">
        <v>111</v>
      </c>
      <c r="P409" t="s">
        <v>152</v>
      </c>
      <c r="Q409" t="s">
        <v>244</v>
      </c>
      <c r="R409">
        <v>7.7</v>
      </c>
      <c r="S409" t="s">
        <v>2953</v>
      </c>
    </row>
    <row r="410" spans="1:19" x14ac:dyDescent="0.3">
      <c r="A410" t="s">
        <v>1127</v>
      </c>
      <c r="B410" t="s">
        <v>326</v>
      </c>
      <c r="C410" t="s">
        <v>348</v>
      </c>
      <c r="D410" t="s">
        <v>24</v>
      </c>
      <c r="E410">
        <v>58</v>
      </c>
      <c r="F410" t="s">
        <v>2947</v>
      </c>
      <c r="G410" t="s">
        <v>2399</v>
      </c>
      <c r="H410" t="s">
        <v>2677</v>
      </c>
      <c r="I410" t="s">
        <v>235</v>
      </c>
      <c r="J410" t="s">
        <v>418</v>
      </c>
      <c r="K410" t="s">
        <v>35</v>
      </c>
      <c r="L410" s="1">
        <v>42047</v>
      </c>
      <c r="M410" s="2">
        <v>680483</v>
      </c>
      <c r="N410" s="2" t="s">
        <v>2950</v>
      </c>
      <c r="O410" t="s">
        <v>111</v>
      </c>
      <c r="P410" t="s">
        <v>205</v>
      </c>
      <c r="Q410" t="s">
        <v>65</v>
      </c>
      <c r="R410">
        <v>10.5</v>
      </c>
      <c r="S410" t="s">
        <v>2951</v>
      </c>
    </row>
    <row r="411" spans="1:19" x14ac:dyDescent="0.3">
      <c r="A411" t="s">
        <v>1130</v>
      </c>
      <c r="B411" t="s">
        <v>310</v>
      </c>
      <c r="C411" t="s">
        <v>98</v>
      </c>
      <c r="D411" t="s">
        <v>24</v>
      </c>
      <c r="E411">
        <v>25</v>
      </c>
      <c r="F411" t="s">
        <v>2945</v>
      </c>
      <c r="G411" t="s">
        <v>2400</v>
      </c>
      <c r="H411" t="s">
        <v>2369</v>
      </c>
      <c r="I411" t="s">
        <v>592</v>
      </c>
      <c r="J411" t="s">
        <v>290</v>
      </c>
      <c r="K411" t="s">
        <v>28</v>
      </c>
      <c r="L411" s="1">
        <v>44709</v>
      </c>
      <c r="M411" s="2">
        <v>226417</v>
      </c>
      <c r="N411" s="2" t="s">
        <v>2948</v>
      </c>
      <c r="O411" t="s">
        <v>198</v>
      </c>
      <c r="P411" t="s">
        <v>353</v>
      </c>
      <c r="Q411" t="s">
        <v>65</v>
      </c>
      <c r="R411">
        <v>4</v>
      </c>
      <c r="S411" t="s">
        <v>2952</v>
      </c>
    </row>
    <row r="412" spans="1:19" x14ac:dyDescent="0.3">
      <c r="A412" t="s">
        <v>1132</v>
      </c>
      <c r="B412" t="s">
        <v>37</v>
      </c>
      <c r="C412" t="s">
        <v>62</v>
      </c>
      <c r="D412" t="s">
        <v>45</v>
      </c>
      <c r="E412">
        <v>47</v>
      </c>
      <c r="F412" t="s">
        <v>2947</v>
      </c>
      <c r="G412" t="s">
        <v>1124</v>
      </c>
      <c r="H412" t="s">
        <v>2678</v>
      </c>
      <c r="I412" t="s">
        <v>271</v>
      </c>
      <c r="J412" t="s">
        <v>388</v>
      </c>
      <c r="K412" t="s">
        <v>28</v>
      </c>
      <c r="L412" s="1">
        <v>44351</v>
      </c>
      <c r="M412" s="2">
        <v>7962.21</v>
      </c>
      <c r="N412" s="2" t="s">
        <v>2949</v>
      </c>
      <c r="O412" t="s">
        <v>253</v>
      </c>
      <c r="P412" t="s">
        <v>152</v>
      </c>
      <c r="Q412" t="s">
        <v>79</v>
      </c>
      <c r="R412">
        <v>5.0999999999999996</v>
      </c>
      <c r="S412" t="s">
        <v>2953</v>
      </c>
    </row>
    <row r="413" spans="1:19" x14ac:dyDescent="0.3">
      <c r="A413" t="s">
        <v>1134</v>
      </c>
      <c r="B413" t="s">
        <v>98</v>
      </c>
      <c r="C413" t="s">
        <v>408</v>
      </c>
      <c r="D413" t="s">
        <v>45</v>
      </c>
      <c r="E413">
        <v>30</v>
      </c>
      <c r="F413" t="s">
        <v>2945</v>
      </c>
      <c r="G413" t="s">
        <v>1126</v>
      </c>
      <c r="H413" t="s">
        <v>2679</v>
      </c>
      <c r="I413" t="s">
        <v>485</v>
      </c>
      <c r="J413" t="s">
        <v>262</v>
      </c>
      <c r="K413" t="s">
        <v>48</v>
      </c>
      <c r="L413" s="1">
        <v>43591</v>
      </c>
      <c r="M413" s="2">
        <v>401855</v>
      </c>
      <c r="N413" s="2" t="s">
        <v>2948</v>
      </c>
      <c r="O413" t="s">
        <v>130</v>
      </c>
      <c r="P413" t="s">
        <v>353</v>
      </c>
      <c r="Q413" t="s">
        <v>244</v>
      </c>
      <c r="R413">
        <v>7</v>
      </c>
      <c r="S413" t="s">
        <v>2953</v>
      </c>
    </row>
    <row r="414" spans="1:19" x14ac:dyDescent="0.3">
      <c r="A414" t="s">
        <v>1136</v>
      </c>
      <c r="B414" t="s">
        <v>310</v>
      </c>
      <c r="C414" t="s">
        <v>362</v>
      </c>
      <c r="D414" t="s">
        <v>24</v>
      </c>
      <c r="E414">
        <v>45</v>
      </c>
      <c r="F414" t="s">
        <v>2946</v>
      </c>
      <c r="G414" t="s">
        <v>1128</v>
      </c>
      <c r="H414" t="s">
        <v>1129</v>
      </c>
      <c r="I414" t="s">
        <v>368</v>
      </c>
      <c r="J414" t="s">
        <v>215</v>
      </c>
      <c r="K414" t="s">
        <v>35</v>
      </c>
      <c r="L414" s="1">
        <v>42515</v>
      </c>
      <c r="M414" s="2">
        <v>97679</v>
      </c>
      <c r="N414" s="2" t="s">
        <v>2949</v>
      </c>
      <c r="O414" t="s">
        <v>130</v>
      </c>
      <c r="P414" t="s">
        <v>205</v>
      </c>
      <c r="Q414" t="s">
        <v>244</v>
      </c>
      <c r="R414">
        <v>10</v>
      </c>
      <c r="S414" t="s">
        <v>2951</v>
      </c>
    </row>
    <row r="415" spans="1:19" x14ac:dyDescent="0.3">
      <c r="A415" t="s">
        <v>1138</v>
      </c>
      <c r="B415" t="s">
        <v>44</v>
      </c>
      <c r="C415" t="s">
        <v>318</v>
      </c>
      <c r="D415" t="s">
        <v>24</v>
      </c>
      <c r="E415">
        <v>24</v>
      </c>
      <c r="F415" t="s">
        <v>2945</v>
      </c>
      <c r="G415" t="s">
        <v>2401</v>
      </c>
      <c r="H415" t="s">
        <v>2369</v>
      </c>
      <c r="I415" t="s">
        <v>271</v>
      </c>
      <c r="J415" t="s">
        <v>143</v>
      </c>
      <c r="K415" t="s">
        <v>71</v>
      </c>
      <c r="L415" s="1">
        <v>43740</v>
      </c>
      <c r="M415" s="2">
        <v>621358</v>
      </c>
      <c r="N415" s="2" t="s">
        <v>2950</v>
      </c>
      <c r="O415" t="s">
        <v>216</v>
      </c>
      <c r="P415" t="s">
        <v>353</v>
      </c>
      <c r="Q415" t="s">
        <v>158</v>
      </c>
      <c r="R415">
        <v>6.6</v>
      </c>
      <c r="S415" t="s">
        <v>2953</v>
      </c>
    </row>
    <row r="416" spans="1:19" x14ac:dyDescent="0.3">
      <c r="A416" t="s">
        <v>1141</v>
      </c>
      <c r="B416" t="s">
        <v>148</v>
      </c>
      <c r="C416" t="s">
        <v>200</v>
      </c>
      <c r="D416" t="s">
        <v>24</v>
      </c>
      <c r="E416">
        <v>41</v>
      </c>
      <c r="F416" t="s">
        <v>2946</v>
      </c>
      <c r="G416" t="s">
        <v>201</v>
      </c>
      <c r="H416" t="s">
        <v>2680</v>
      </c>
      <c r="I416" t="s">
        <v>394</v>
      </c>
      <c r="J416" t="s">
        <v>519</v>
      </c>
      <c r="K416" t="s">
        <v>48</v>
      </c>
      <c r="L416" s="1">
        <v>43511</v>
      </c>
      <c r="M416" s="2">
        <v>87678</v>
      </c>
      <c r="N416" s="2" t="s">
        <v>2949</v>
      </c>
      <c r="O416" t="s">
        <v>111</v>
      </c>
      <c r="P416" t="s">
        <v>353</v>
      </c>
      <c r="Q416" t="s">
        <v>244</v>
      </c>
      <c r="R416">
        <v>7.2</v>
      </c>
      <c r="S416" t="s">
        <v>2953</v>
      </c>
    </row>
    <row r="417" spans="1:19" x14ac:dyDescent="0.3">
      <c r="A417" t="s">
        <v>1143</v>
      </c>
      <c r="B417" t="s">
        <v>286</v>
      </c>
      <c r="C417" t="s">
        <v>86</v>
      </c>
      <c r="D417" t="s">
        <v>45</v>
      </c>
      <c r="E417">
        <v>35</v>
      </c>
      <c r="F417" t="s">
        <v>2946</v>
      </c>
      <c r="G417" t="s">
        <v>1133</v>
      </c>
      <c r="H417" t="s">
        <v>2681</v>
      </c>
      <c r="I417" t="s">
        <v>592</v>
      </c>
      <c r="J417" t="s">
        <v>550</v>
      </c>
      <c r="K417" t="s">
        <v>48</v>
      </c>
      <c r="L417" s="1">
        <v>44037</v>
      </c>
      <c r="N417" s="2" t="s">
        <v>2369</v>
      </c>
      <c r="O417" t="s">
        <v>253</v>
      </c>
      <c r="P417" t="s">
        <v>21</v>
      </c>
      <c r="Q417" t="s">
        <v>158</v>
      </c>
      <c r="R417">
        <v>5.8</v>
      </c>
      <c r="S417" t="s">
        <v>2953</v>
      </c>
    </row>
    <row r="418" spans="1:19" x14ac:dyDescent="0.3">
      <c r="A418" t="s">
        <v>1146</v>
      </c>
      <c r="B418" t="s">
        <v>103</v>
      </c>
      <c r="C418" t="s">
        <v>68</v>
      </c>
      <c r="D418" t="s">
        <v>24</v>
      </c>
      <c r="E418">
        <v>58</v>
      </c>
      <c r="F418" t="s">
        <v>2947</v>
      </c>
      <c r="G418" t="s">
        <v>1135</v>
      </c>
      <c r="H418" t="s">
        <v>2369</v>
      </c>
      <c r="I418" t="s">
        <v>53</v>
      </c>
      <c r="J418" t="s">
        <v>1028</v>
      </c>
      <c r="K418" t="s">
        <v>35</v>
      </c>
      <c r="L418" s="1">
        <v>42283</v>
      </c>
      <c r="M418" s="2">
        <v>829629</v>
      </c>
      <c r="N418" s="2" t="s">
        <v>2950</v>
      </c>
      <c r="O418" t="s">
        <v>111</v>
      </c>
      <c r="P418" t="s">
        <v>205</v>
      </c>
      <c r="Q418" t="s">
        <v>79</v>
      </c>
      <c r="R418">
        <v>10.6</v>
      </c>
      <c r="S418" t="s">
        <v>2951</v>
      </c>
    </row>
    <row r="419" spans="1:19" x14ac:dyDescent="0.3">
      <c r="A419" t="s">
        <v>1148</v>
      </c>
      <c r="B419" t="s">
        <v>348</v>
      </c>
      <c r="C419" t="s">
        <v>362</v>
      </c>
      <c r="D419" t="s">
        <v>45</v>
      </c>
      <c r="E419">
        <v>37</v>
      </c>
      <c r="F419" t="s">
        <v>2946</v>
      </c>
      <c r="G419" t="s">
        <v>1137</v>
      </c>
      <c r="H419" t="s">
        <v>2682</v>
      </c>
      <c r="I419" t="s">
        <v>368</v>
      </c>
      <c r="J419" t="s">
        <v>796</v>
      </c>
      <c r="K419" t="s">
        <v>35</v>
      </c>
      <c r="L419" s="1">
        <v>44343</v>
      </c>
      <c r="N419" s="2" t="s">
        <v>2369</v>
      </c>
      <c r="O419" t="s">
        <v>41</v>
      </c>
      <c r="P419" t="s">
        <v>205</v>
      </c>
      <c r="Q419" t="s">
        <v>65</v>
      </c>
      <c r="R419">
        <v>5</v>
      </c>
      <c r="S419" t="s">
        <v>2952</v>
      </c>
    </row>
    <row r="420" spans="1:19" x14ac:dyDescent="0.3">
      <c r="A420" t="s">
        <v>1150</v>
      </c>
      <c r="B420" t="s">
        <v>17</v>
      </c>
      <c r="C420" t="s">
        <v>149</v>
      </c>
      <c r="D420" t="s">
        <v>24</v>
      </c>
      <c r="E420">
        <v>58</v>
      </c>
      <c r="F420" t="s">
        <v>2947</v>
      </c>
      <c r="G420" t="s">
        <v>1139</v>
      </c>
      <c r="H420" t="s">
        <v>1140</v>
      </c>
      <c r="I420" t="s">
        <v>271</v>
      </c>
      <c r="J420" t="s">
        <v>785</v>
      </c>
      <c r="K420" t="s">
        <v>35</v>
      </c>
      <c r="L420" s="1">
        <v>43517</v>
      </c>
      <c r="M420" s="2">
        <v>797588</v>
      </c>
      <c r="N420" s="2" t="s">
        <v>2950</v>
      </c>
      <c r="O420" t="s">
        <v>111</v>
      </c>
      <c r="P420" t="s">
        <v>21</v>
      </c>
      <c r="Q420" t="s">
        <v>244</v>
      </c>
      <c r="R420">
        <v>7.2</v>
      </c>
      <c r="S420" t="s">
        <v>2953</v>
      </c>
    </row>
    <row r="421" spans="1:19" x14ac:dyDescent="0.3">
      <c r="A421" t="s">
        <v>1152</v>
      </c>
      <c r="B421" t="s">
        <v>74</v>
      </c>
      <c r="C421" t="s">
        <v>114</v>
      </c>
      <c r="D421" t="s">
        <v>45</v>
      </c>
      <c r="E421">
        <v>27</v>
      </c>
      <c r="F421" t="s">
        <v>2945</v>
      </c>
      <c r="G421" t="s">
        <v>1142</v>
      </c>
      <c r="H421" t="s">
        <v>2369</v>
      </c>
      <c r="I421" t="s">
        <v>368</v>
      </c>
      <c r="J421" t="s">
        <v>796</v>
      </c>
      <c r="K421" t="s">
        <v>48</v>
      </c>
      <c r="L421" s="1">
        <v>43316</v>
      </c>
      <c r="M421" s="2">
        <v>576265</v>
      </c>
      <c r="N421" s="2" t="s">
        <v>2950</v>
      </c>
      <c r="O421" t="s">
        <v>253</v>
      </c>
      <c r="P421" t="s">
        <v>90</v>
      </c>
      <c r="Q421" t="s">
        <v>65</v>
      </c>
      <c r="R421">
        <v>7.8</v>
      </c>
      <c r="S421" t="s">
        <v>2953</v>
      </c>
    </row>
    <row r="422" spans="1:19" x14ac:dyDescent="0.3">
      <c r="A422" t="s">
        <v>1154</v>
      </c>
      <c r="B422" t="s">
        <v>348</v>
      </c>
      <c r="C422" t="s">
        <v>408</v>
      </c>
      <c r="D422" t="s">
        <v>24</v>
      </c>
      <c r="E422">
        <v>57</v>
      </c>
      <c r="F422" t="s">
        <v>2947</v>
      </c>
      <c r="G422" t="s">
        <v>1144</v>
      </c>
      <c r="H422" t="s">
        <v>1145</v>
      </c>
      <c r="I422" t="s">
        <v>235</v>
      </c>
      <c r="J422" t="s">
        <v>480</v>
      </c>
      <c r="K422" t="s">
        <v>48</v>
      </c>
      <c r="L422" s="1">
        <v>43168</v>
      </c>
      <c r="M422" s="2">
        <v>786942</v>
      </c>
      <c r="N422" s="2" t="s">
        <v>2950</v>
      </c>
      <c r="O422" t="s">
        <v>130</v>
      </c>
      <c r="P422" t="s">
        <v>21</v>
      </c>
      <c r="Q422" t="s">
        <v>65</v>
      </c>
      <c r="R422">
        <v>8.1999999999999993</v>
      </c>
      <c r="S422" t="s">
        <v>2951</v>
      </c>
    </row>
    <row r="423" spans="1:19" x14ac:dyDescent="0.3">
      <c r="A423" t="s">
        <v>1156</v>
      </c>
      <c r="B423" t="s">
        <v>97</v>
      </c>
      <c r="C423" t="s">
        <v>277</v>
      </c>
      <c r="D423" t="s">
        <v>24</v>
      </c>
      <c r="E423">
        <v>56</v>
      </c>
      <c r="F423" t="s">
        <v>2947</v>
      </c>
      <c r="G423" t="s">
        <v>1147</v>
      </c>
      <c r="H423" t="s">
        <v>2369</v>
      </c>
      <c r="I423" t="s">
        <v>53</v>
      </c>
      <c r="J423" t="s">
        <v>426</v>
      </c>
      <c r="K423" t="s">
        <v>71</v>
      </c>
      <c r="L423" s="1">
        <v>42914</v>
      </c>
      <c r="M423" s="2">
        <v>358835</v>
      </c>
      <c r="N423" s="2" t="s">
        <v>2948</v>
      </c>
      <c r="O423" t="s">
        <v>253</v>
      </c>
      <c r="P423" t="s">
        <v>152</v>
      </c>
      <c r="Q423" t="s">
        <v>79</v>
      </c>
      <c r="R423">
        <v>8.9</v>
      </c>
      <c r="S423" t="s">
        <v>2951</v>
      </c>
    </row>
    <row r="424" spans="1:19" x14ac:dyDescent="0.3">
      <c r="A424" t="s">
        <v>1158</v>
      </c>
      <c r="B424" t="s">
        <v>74</v>
      </c>
      <c r="C424" t="s">
        <v>141</v>
      </c>
      <c r="D424" t="s">
        <v>24</v>
      </c>
      <c r="E424">
        <v>23</v>
      </c>
      <c r="F424" t="s">
        <v>2945</v>
      </c>
      <c r="G424" t="s">
        <v>1149</v>
      </c>
      <c r="H424" t="s">
        <v>2369</v>
      </c>
      <c r="I424" t="s">
        <v>53</v>
      </c>
      <c r="J424" t="s">
        <v>866</v>
      </c>
      <c r="K424" t="s">
        <v>48</v>
      </c>
      <c r="L424" s="1">
        <v>43645</v>
      </c>
      <c r="N424" s="2" t="s">
        <v>2369</v>
      </c>
      <c r="O424" t="s">
        <v>41</v>
      </c>
      <c r="P424" t="s">
        <v>205</v>
      </c>
      <c r="Q424" t="s">
        <v>244</v>
      </c>
      <c r="R424">
        <v>6.9</v>
      </c>
      <c r="S424" t="s">
        <v>2953</v>
      </c>
    </row>
    <row r="425" spans="1:19" x14ac:dyDescent="0.3">
      <c r="A425" t="s">
        <v>1160</v>
      </c>
      <c r="B425" t="s">
        <v>119</v>
      </c>
      <c r="C425" t="s">
        <v>183</v>
      </c>
      <c r="D425" t="s">
        <v>45</v>
      </c>
      <c r="E425">
        <v>48</v>
      </c>
      <c r="F425" t="s">
        <v>2947</v>
      </c>
      <c r="G425" t="s">
        <v>403</v>
      </c>
      <c r="H425" t="s">
        <v>1151</v>
      </c>
      <c r="I425" t="s">
        <v>271</v>
      </c>
      <c r="J425" t="s">
        <v>135</v>
      </c>
      <c r="K425" t="s">
        <v>71</v>
      </c>
      <c r="L425" s="1">
        <v>43818</v>
      </c>
      <c r="M425" s="2">
        <v>364027</v>
      </c>
      <c r="N425" s="2" t="s">
        <v>2948</v>
      </c>
      <c r="O425" t="s">
        <v>111</v>
      </c>
      <c r="P425" t="s">
        <v>21</v>
      </c>
      <c r="Q425" t="s">
        <v>158</v>
      </c>
      <c r="R425">
        <v>6.4</v>
      </c>
      <c r="S425" t="s">
        <v>2953</v>
      </c>
    </row>
    <row r="426" spans="1:19" x14ac:dyDescent="0.3">
      <c r="A426" t="s">
        <v>1162</v>
      </c>
      <c r="B426" t="s">
        <v>297</v>
      </c>
      <c r="C426" t="s">
        <v>68</v>
      </c>
      <c r="D426" t="s">
        <v>24</v>
      </c>
      <c r="E426">
        <v>26</v>
      </c>
      <c r="F426" t="s">
        <v>2945</v>
      </c>
      <c r="G426" t="s">
        <v>1153</v>
      </c>
      <c r="H426" t="s">
        <v>2369</v>
      </c>
      <c r="I426" t="s">
        <v>592</v>
      </c>
      <c r="J426" t="s">
        <v>110</v>
      </c>
      <c r="K426" t="s">
        <v>71</v>
      </c>
      <c r="L426" s="1">
        <v>43443</v>
      </c>
      <c r="M426" s="2">
        <v>198896</v>
      </c>
      <c r="N426" s="2" t="s">
        <v>2949</v>
      </c>
      <c r="O426" t="s">
        <v>130</v>
      </c>
      <c r="P426" t="s">
        <v>353</v>
      </c>
      <c r="Q426" t="s">
        <v>65</v>
      </c>
      <c r="R426">
        <v>7.4</v>
      </c>
      <c r="S426" t="s">
        <v>2953</v>
      </c>
    </row>
    <row r="427" spans="1:19" x14ac:dyDescent="0.3">
      <c r="A427" t="s">
        <v>1163</v>
      </c>
      <c r="B427" t="s">
        <v>119</v>
      </c>
      <c r="C427" t="s">
        <v>23</v>
      </c>
      <c r="D427" t="s">
        <v>24</v>
      </c>
      <c r="E427">
        <v>42</v>
      </c>
      <c r="F427" t="s">
        <v>2946</v>
      </c>
      <c r="G427" t="s">
        <v>1155</v>
      </c>
      <c r="H427" t="s">
        <v>2683</v>
      </c>
      <c r="I427" t="s">
        <v>592</v>
      </c>
      <c r="J427" t="s">
        <v>34</v>
      </c>
      <c r="K427" t="s">
        <v>71</v>
      </c>
      <c r="L427" s="1">
        <v>43716</v>
      </c>
      <c r="M427" s="2">
        <v>132431</v>
      </c>
      <c r="N427" s="2" t="s">
        <v>2949</v>
      </c>
      <c r="O427" t="s">
        <v>130</v>
      </c>
      <c r="P427" t="s">
        <v>21</v>
      </c>
      <c r="Q427" t="s">
        <v>244</v>
      </c>
      <c r="R427">
        <v>6.8</v>
      </c>
      <c r="S427" t="s">
        <v>2953</v>
      </c>
    </row>
    <row r="428" spans="1:19" x14ac:dyDescent="0.3">
      <c r="A428" t="s">
        <v>1166</v>
      </c>
      <c r="B428" t="s">
        <v>67</v>
      </c>
      <c r="C428" t="s">
        <v>86</v>
      </c>
      <c r="D428" t="s">
        <v>24</v>
      </c>
      <c r="E428">
        <v>31</v>
      </c>
      <c r="F428" t="s">
        <v>2946</v>
      </c>
      <c r="G428" t="s">
        <v>534</v>
      </c>
      <c r="H428" t="s">
        <v>1157</v>
      </c>
      <c r="I428" t="s">
        <v>100</v>
      </c>
      <c r="J428" t="s">
        <v>603</v>
      </c>
      <c r="K428" t="s">
        <v>48</v>
      </c>
      <c r="L428" s="1">
        <v>42490</v>
      </c>
      <c r="M428" s="2">
        <v>2634040</v>
      </c>
      <c r="N428" s="2" t="s">
        <v>2950</v>
      </c>
      <c r="O428" t="s">
        <v>41</v>
      </c>
      <c r="P428" t="s">
        <v>205</v>
      </c>
      <c r="Q428" t="s">
        <v>79</v>
      </c>
      <c r="R428">
        <v>10</v>
      </c>
      <c r="S428" t="s">
        <v>2951</v>
      </c>
    </row>
    <row r="429" spans="1:19" x14ac:dyDescent="0.3">
      <c r="A429" t="s">
        <v>1170</v>
      </c>
      <c r="B429" t="s">
        <v>98</v>
      </c>
      <c r="C429" t="s">
        <v>50</v>
      </c>
      <c r="D429" t="s">
        <v>45</v>
      </c>
      <c r="E429">
        <v>48</v>
      </c>
      <c r="F429" t="s">
        <v>2947</v>
      </c>
      <c r="G429" t="s">
        <v>1159</v>
      </c>
      <c r="H429" t="s">
        <v>2369</v>
      </c>
      <c r="I429" t="s">
        <v>368</v>
      </c>
      <c r="J429" t="s">
        <v>796</v>
      </c>
      <c r="K429" t="s">
        <v>71</v>
      </c>
      <c r="L429" s="1">
        <v>42557</v>
      </c>
      <c r="M429" s="2">
        <v>833169</v>
      </c>
      <c r="N429" s="2" t="s">
        <v>2950</v>
      </c>
      <c r="O429" t="s">
        <v>111</v>
      </c>
      <c r="P429" t="s">
        <v>353</v>
      </c>
      <c r="Q429" t="s">
        <v>65</v>
      </c>
      <c r="R429">
        <v>9.9</v>
      </c>
      <c r="S429" t="s">
        <v>2951</v>
      </c>
    </row>
    <row r="430" spans="1:19" x14ac:dyDescent="0.3">
      <c r="A430" t="s">
        <v>1172</v>
      </c>
      <c r="B430" t="s">
        <v>326</v>
      </c>
      <c r="C430" t="s">
        <v>264</v>
      </c>
      <c r="D430" t="s">
        <v>24</v>
      </c>
      <c r="F430" t="s">
        <v>2369</v>
      </c>
      <c r="G430" t="s">
        <v>1161</v>
      </c>
      <c r="H430" t="s">
        <v>2684</v>
      </c>
      <c r="I430" t="s">
        <v>368</v>
      </c>
      <c r="J430" t="s">
        <v>227</v>
      </c>
      <c r="K430" t="s">
        <v>71</v>
      </c>
      <c r="L430" s="1">
        <v>43256</v>
      </c>
      <c r="N430" s="2" t="s">
        <v>2369</v>
      </c>
      <c r="O430" t="s">
        <v>111</v>
      </c>
      <c r="P430" t="s">
        <v>152</v>
      </c>
      <c r="Q430" t="s">
        <v>244</v>
      </c>
      <c r="R430">
        <v>7.9</v>
      </c>
      <c r="S430" t="s">
        <v>2953</v>
      </c>
    </row>
    <row r="431" spans="1:19" x14ac:dyDescent="0.3">
      <c r="A431" t="s">
        <v>1175</v>
      </c>
      <c r="B431" t="s">
        <v>43</v>
      </c>
      <c r="C431" t="s">
        <v>336</v>
      </c>
      <c r="D431" t="s">
        <v>45</v>
      </c>
      <c r="E431">
        <v>43</v>
      </c>
      <c r="F431" t="s">
        <v>2946</v>
      </c>
      <c r="G431" t="s">
        <v>2441</v>
      </c>
      <c r="H431" t="s">
        <v>2369</v>
      </c>
      <c r="I431" t="s">
        <v>592</v>
      </c>
      <c r="J431" t="s">
        <v>140</v>
      </c>
      <c r="K431" t="s">
        <v>48</v>
      </c>
      <c r="L431" s="1">
        <v>42175</v>
      </c>
      <c r="M431" s="2">
        <v>347313</v>
      </c>
      <c r="N431" s="2" t="s">
        <v>2948</v>
      </c>
      <c r="O431" t="s">
        <v>41</v>
      </c>
      <c r="P431" t="s">
        <v>353</v>
      </c>
      <c r="Q431" t="s">
        <v>65</v>
      </c>
      <c r="R431">
        <v>10.9</v>
      </c>
      <c r="S431" t="s">
        <v>2951</v>
      </c>
    </row>
    <row r="432" spans="1:19" x14ac:dyDescent="0.3">
      <c r="A432" t="s">
        <v>1178</v>
      </c>
      <c r="B432" t="s">
        <v>160</v>
      </c>
      <c r="C432" t="s">
        <v>114</v>
      </c>
      <c r="D432" t="s">
        <v>24</v>
      </c>
      <c r="E432">
        <v>35</v>
      </c>
      <c r="F432" t="s">
        <v>2946</v>
      </c>
      <c r="G432" t="s">
        <v>2369</v>
      </c>
      <c r="H432" t="s">
        <v>1164</v>
      </c>
      <c r="I432" t="s">
        <v>485</v>
      </c>
      <c r="J432" t="s">
        <v>1165</v>
      </c>
      <c r="K432" t="s">
        <v>35</v>
      </c>
      <c r="N432" s="2" t="s">
        <v>2369</v>
      </c>
      <c r="O432" t="s">
        <v>111</v>
      </c>
      <c r="P432" t="s">
        <v>353</v>
      </c>
      <c r="Q432" t="s">
        <v>79</v>
      </c>
      <c r="R432">
        <v>6</v>
      </c>
      <c r="S432" t="s">
        <v>2953</v>
      </c>
    </row>
    <row r="433" spans="1:19" x14ac:dyDescent="0.3">
      <c r="A433" t="s">
        <v>1182</v>
      </c>
      <c r="B433" t="s">
        <v>224</v>
      </c>
      <c r="C433" t="s">
        <v>336</v>
      </c>
      <c r="D433" t="s">
        <v>45</v>
      </c>
      <c r="E433">
        <v>33</v>
      </c>
      <c r="F433" t="s">
        <v>2946</v>
      </c>
      <c r="G433" t="s">
        <v>1167</v>
      </c>
      <c r="H433" t="s">
        <v>1168</v>
      </c>
      <c r="I433" t="s">
        <v>53</v>
      </c>
      <c r="J433" t="s">
        <v>1169</v>
      </c>
      <c r="K433" t="s">
        <v>35</v>
      </c>
      <c r="L433" s="1">
        <v>44915</v>
      </c>
      <c r="N433" s="2" t="s">
        <v>2369</v>
      </c>
      <c r="O433" t="s">
        <v>41</v>
      </c>
      <c r="P433" t="s">
        <v>152</v>
      </c>
      <c r="Q433" t="s">
        <v>158</v>
      </c>
      <c r="R433">
        <v>3.4</v>
      </c>
      <c r="S433" t="s">
        <v>2952</v>
      </c>
    </row>
    <row r="434" spans="1:19" x14ac:dyDescent="0.3">
      <c r="A434" t="s">
        <v>1184</v>
      </c>
      <c r="B434" t="s">
        <v>145</v>
      </c>
      <c r="C434" t="s">
        <v>98</v>
      </c>
      <c r="D434" t="s">
        <v>24</v>
      </c>
      <c r="E434">
        <v>54</v>
      </c>
      <c r="F434" t="s">
        <v>2947</v>
      </c>
      <c r="G434" t="s">
        <v>181</v>
      </c>
      <c r="H434" t="s">
        <v>1171</v>
      </c>
      <c r="I434" t="s">
        <v>592</v>
      </c>
      <c r="J434" t="s">
        <v>593</v>
      </c>
      <c r="K434" t="s">
        <v>28</v>
      </c>
      <c r="L434" s="1">
        <v>42190</v>
      </c>
      <c r="M434" s="2">
        <v>111248</v>
      </c>
      <c r="N434" s="2" t="s">
        <v>2949</v>
      </c>
      <c r="O434" t="s">
        <v>111</v>
      </c>
      <c r="P434" t="s">
        <v>90</v>
      </c>
      <c r="Q434" t="s">
        <v>244</v>
      </c>
      <c r="R434">
        <v>10.9</v>
      </c>
      <c r="S434" t="s">
        <v>2951</v>
      </c>
    </row>
    <row r="435" spans="1:19" x14ac:dyDescent="0.3">
      <c r="A435" t="s">
        <v>1187</v>
      </c>
      <c r="B435" t="s">
        <v>85</v>
      </c>
      <c r="C435" t="s">
        <v>213</v>
      </c>
      <c r="D435" t="s">
        <v>45</v>
      </c>
      <c r="E435">
        <v>47</v>
      </c>
      <c r="F435" t="s">
        <v>2947</v>
      </c>
      <c r="G435" t="s">
        <v>1173</v>
      </c>
      <c r="H435" t="s">
        <v>2685</v>
      </c>
      <c r="I435" t="s">
        <v>368</v>
      </c>
      <c r="J435" t="s">
        <v>1174</v>
      </c>
      <c r="K435" t="s">
        <v>35</v>
      </c>
      <c r="L435" s="1">
        <v>42074</v>
      </c>
      <c r="M435" s="2">
        <v>559245</v>
      </c>
      <c r="N435" s="2" t="s">
        <v>2950</v>
      </c>
      <c r="O435" t="s">
        <v>130</v>
      </c>
      <c r="P435" t="s">
        <v>353</v>
      </c>
      <c r="Q435" t="s">
        <v>244</v>
      </c>
      <c r="R435">
        <v>11.2</v>
      </c>
      <c r="S435" t="s">
        <v>2951</v>
      </c>
    </row>
    <row r="436" spans="1:19" x14ac:dyDescent="0.3">
      <c r="A436" t="s">
        <v>1190</v>
      </c>
      <c r="B436" t="s">
        <v>207</v>
      </c>
      <c r="C436" t="s">
        <v>408</v>
      </c>
      <c r="D436" t="s">
        <v>24</v>
      </c>
      <c r="E436">
        <v>40</v>
      </c>
      <c r="F436" t="s">
        <v>2946</v>
      </c>
      <c r="G436" t="s">
        <v>1176</v>
      </c>
      <c r="H436" t="s">
        <v>1177</v>
      </c>
      <c r="I436" t="s">
        <v>235</v>
      </c>
      <c r="K436" t="s">
        <v>28</v>
      </c>
      <c r="N436" s="2" t="s">
        <v>2369</v>
      </c>
      <c r="O436" t="s">
        <v>41</v>
      </c>
      <c r="P436" t="s">
        <v>21</v>
      </c>
      <c r="Q436" t="s">
        <v>158</v>
      </c>
      <c r="R436">
        <v>5.2</v>
      </c>
      <c r="S436" t="s">
        <v>2953</v>
      </c>
    </row>
    <row r="437" spans="1:19" x14ac:dyDescent="0.3">
      <c r="A437" t="s">
        <v>1191</v>
      </c>
      <c r="B437" t="s">
        <v>141</v>
      </c>
      <c r="C437" t="s">
        <v>200</v>
      </c>
      <c r="D437" t="s">
        <v>45</v>
      </c>
      <c r="E437">
        <v>58</v>
      </c>
      <c r="F437" t="s">
        <v>2947</v>
      </c>
      <c r="G437" t="s">
        <v>1179</v>
      </c>
      <c r="H437" t="s">
        <v>1180</v>
      </c>
      <c r="I437" t="s">
        <v>485</v>
      </c>
      <c r="J437" t="s">
        <v>1181</v>
      </c>
      <c r="K437" t="s">
        <v>35</v>
      </c>
      <c r="L437" s="1">
        <v>44589</v>
      </c>
      <c r="M437" s="2">
        <v>627332</v>
      </c>
      <c r="N437" s="2" t="s">
        <v>2950</v>
      </c>
      <c r="O437" t="s">
        <v>41</v>
      </c>
      <c r="P437" t="s">
        <v>205</v>
      </c>
      <c r="Q437" t="s">
        <v>244</v>
      </c>
      <c r="R437">
        <v>4.3</v>
      </c>
      <c r="S437" t="s">
        <v>2952</v>
      </c>
    </row>
    <row r="438" spans="1:19" x14ac:dyDescent="0.3">
      <c r="A438" t="s">
        <v>1194</v>
      </c>
      <c r="B438" t="s">
        <v>103</v>
      </c>
      <c r="C438" t="s">
        <v>57</v>
      </c>
      <c r="D438" t="s">
        <v>45</v>
      </c>
      <c r="E438">
        <v>45</v>
      </c>
      <c r="F438" t="s">
        <v>2946</v>
      </c>
      <c r="G438" t="s">
        <v>2369</v>
      </c>
      <c r="H438" t="s">
        <v>2369</v>
      </c>
      <c r="I438" t="s">
        <v>517</v>
      </c>
      <c r="J438" t="s">
        <v>1183</v>
      </c>
      <c r="K438" t="s">
        <v>71</v>
      </c>
      <c r="L438" s="1">
        <v>44901</v>
      </c>
      <c r="M438" s="2">
        <v>357174</v>
      </c>
      <c r="N438" s="2" t="s">
        <v>2948</v>
      </c>
      <c r="O438" t="s">
        <v>198</v>
      </c>
      <c r="P438" t="s">
        <v>21</v>
      </c>
      <c r="Q438" t="s">
        <v>65</v>
      </c>
      <c r="R438">
        <v>3.4</v>
      </c>
      <c r="S438" t="s">
        <v>2952</v>
      </c>
    </row>
    <row r="439" spans="1:19" x14ac:dyDescent="0.3">
      <c r="A439" t="s">
        <v>1196</v>
      </c>
      <c r="B439" t="s">
        <v>127</v>
      </c>
      <c r="C439" t="s">
        <v>318</v>
      </c>
      <c r="D439" t="s">
        <v>24</v>
      </c>
      <c r="E439">
        <v>55</v>
      </c>
      <c r="F439" t="s">
        <v>2947</v>
      </c>
      <c r="G439" t="s">
        <v>1185</v>
      </c>
      <c r="H439" t="s">
        <v>1186</v>
      </c>
      <c r="I439" t="s">
        <v>368</v>
      </c>
      <c r="J439" t="s">
        <v>415</v>
      </c>
      <c r="K439" t="s">
        <v>28</v>
      </c>
      <c r="L439" s="1">
        <v>43993</v>
      </c>
      <c r="M439" s="2">
        <v>625438</v>
      </c>
      <c r="N439" s="2" t="s">
        <v>2950</v>
      </c>
      <c r="O439" t="s">
        <v>130</v>
      </c>
      <c r="P439" t="s">
        <v>152</v>
      </c>
      <c r="Q439" t="s">
        <v>158</v>
      </c>
      <c r="R439">
        <v>5.9</v>
      </c>
      <c r="S439" t="s">
        <v>2953</v>
      </c>
    </row>
    <row r="440" spans="1:19" x14ac:dyDescent="0.3">
      <c r="A440" t="s">
        <v>1199</v>
      </c>
      <c r="B440" t="s">
        <v>187</v>
      </c>
      <c r="C440" t="s">
        <v>213</v>
      </c>
      <c r="D440" t="s">
        <v>45</v>
      </c>
      <c r="E440">
        <v>42</v>
      </c>
      <c r="F440" t="s">
        <v>2946</v>
      </c>
      <c r="G440" t="s">
        <v>1188</v>
      </c>
      <c r="H440" t="s">
        <v>1189</v>
      </c>
      <c r="I440" t="s">
        <v>517</v>
      </c>
      <c r="J440" t="s">
        <v>1183</v>
      </c>
      <c r="K440" t="s">
        <v>35</v>
      </c>
      <c r="L440" s="1">
        <v>43767</v>
      </c>
      <c r="M440" s="2">
        <v>702485</v>
      </c>
      <c r="N440" s="2" t="s">
        <v>2950</v>
      </c>
      <c r="O440" t="s">
        <v>130</v>
      </c>
      <c r="P440" t="s">
        <v>21</v>
      </c>
      <c r="Q440" t="s">
        <v>244</v>
      </c>
      <c r="R440">
        <v>6.5</v>
      </c>
      <c r="S440" t="s">
        <v>2953</v>
      </c>
    </row>
    <row r="441" spans="1:19" x14ac:dyDescent="0.3">
      <c r="A441" t="s">
        <v>1202</v>
      </c>
      <c r="B441" t="s">
        <v>259</v>
      </c>
      <c r="C441" t="s">
        <v>213</v>
      </c>
      <c r="D441" t="s">
        <v>45</v>
      </c>
      <c r="E441">
        <v>47</v>
      </c>
      <c r="F441" t="s">
        <v>2947</v>
      </c>
      <c r="G441" t="s">
        <v>2402</v>
      </c>
      <c r="H441" t="s">
        <v>2686</v>
      </c>
      <c r="I441" t="s">
        <v>100</v>
      </c>
      <c r="J441" t="s">
        <v>357</v>
      </c>
      <c r="K441" t="s">
        <v>71</v>
      </c>
      <c r="L441" s="1">
        <v>44304</v>
      </c>
      <c r="M441" s="2">
        <v>776241</v>
      </c>
      <c r="N441" s="2" t="s">
        <v>2950</v>
      </c>
      <c r="O441" t="s">
        <v>41</v>
      </c>
      <c r="P441" t="s">
        <v>90</v>
      </c>
      <c r="Q441" t="s">
        <v>72</v>
      </c>
      <c r="R441">
        <v>5.0999999999999996</v>
      </c>
      <c r="S441" t="s">
        <v>2953</v>
      </c>
    </row>
    <row r="442" spans="1:19" x14ac:dyDescent="0.3">
      <c r="A442" t="s">
        <v>1204</v>
      </c>
      <c r="B442" t="s">
        <v>154</v>
      </c>
      <c r="C442" t="s">
        <v>264</v>
      </c>
      <c r="D442" t="s">
        <v>24</v>
      </c>
      <c r="E442">
        <v>39</v>
      </c>
      <c r="F442" t="s">
        <v>2946</v>
      </c>
      <c r="G442" t="s">
        <v>1192</v>
      </c>
      <c r="H442" t="s">
        <v>1193</v>
      </c>
      <c r="I442" t="s">
        <v>485</v>
      </c>
      <c r="J442" t="s">
        <v>559</v>
      </c>
      <c r="K442" t="s">
        <v>48</v>
      </c>
      <c r="L442" s="1">
        <v>43829</v>
      </c>
      <c r="M442" s="2">
        <v>545917</v>
      </c>
      <c r="N442" s="2" t="s">
        <v>2950</v>
      </c>
      <c r="O442" t="s">
        <v>111</v>
      </c>
      <c r="P442" t="s">
        <v>205</v>
      </c>
      <c r="Q442" t="s">
        <v>79</v>
      </c>
      <c r="R442">
        <v>6.4</v>
      </c>
      <c r="S442" t="s">
        <v>2953</v>
      </c>
    </row>
    <row r="443" spans="1:19" x14ac:dyDescent="0.3">
      <c r="A443" t="s">
        <v>2333</v>
      </c>
      <c r="B443" t="s">
        <v>92</v>
      </c>
      <c r="C443" t="s">
        <v>50</v>
      </c>
      <c r="D443" t="s">
        <v>24</v>
      </c>
      <c r="E443">
        <v>32</v>
      </c>
      <c r="F443" t="s">
        <v>2946</v>
      </c>
      <c r="G443" t="s">
        <v>1195</v>
      </c>
      <c r="H443" t="s">
        <v>2687</v>
      </c>
      <c r="I443" t="s">
        <v>592</v>
      </c>
      <c r="J443" t="s">
        <v>939</v>
      </c>
      <c r="K443" t="s">
        <v>71</v>
      </c>
      <c r="L443" s="1">
        <v>44883</v>
      </c>
      <c r="M443" s="2">
        <v>265752</v>
      </c>
      <c r="N443" s="2" t="s">
        <v>2948</v>
      </c>
      <c r="O443" t="s">
        <v>111</v>
      </c>
      <c r="P443" t="s">
        <v>205</v>
      </c>
      <c r="Q443" t="s">
        <v>72</v>
      </c>
      <c r="R443">
        <v>3.5</v>
      </c>
      <c r="S443" t="s">
        <v>2952</v>
      </c>
    </row>
    <row r="444" spans="1:19" x14ac:dyDescent="0.3">
      <c r="A444" t="s">
        <v>1207</v>
      </c>
      <c r="B444" t="s">
        <v>286</v>
      </c>
      <c r="C444" t="s">
        <v>362</v>
      </c>
      <c r="D444" t="s">
        <v>24</v>
      </c>
      <c r="E444">
        <v>34</v>
      </c>
      <c r="F444" t="s">
        <v>2946</v>
      </c>
      <c r="G444" t="s">
        <v>1197</v>
      </c>
      <c r="H444" t="s">
        <v>1198</v>
      </c>
      <c r="I444" t="s">
        <v>368</v>
      </c>
      <c r="J444" t="s">
        <v>415</v>
      </c>
      <c r="K444" t="s">
        <v>48</v>
      </c>
      <c r="M444" s="2">
        <v>818390</v>
      </c>
      <c r="N444" s="2" t="s">
        <v>2950</v>
      </c>
      <c r="O444" t="s">
        <v>198</v>
      </c>
      <c r="P444" t="s">
        <v>353</v>
      </c>
      <c r="Q444" t="s">
        <v>72</v>
      </c>
      <c r="R444">
        <v>6.4</v>
      </c>
      <c r="S444" t="s">
        <v>2953</v>
      </c>
    </row>
    <row r="445" spans="1:19" x14ac:dyDescent="0.3">
      <c r="A445" t="s">
        <v>1209</v>
      </c>
      <c r="B445" t="s">
        <v>81</v>
      </c>
      <c r="C445" t="s">
        <v>23</v>
      </c>
      <c r="D445" t="s">
        <v>24</v>
      </c>
      <c r="E445">
        <v>37</v>
      </c>
      <c r="F445" t="s">
        <v>2946</v>
      </c>
      <c r="G445" t="s">
        <v>1200</v>
      </c>
      <c r="H445" t="s">
        <v>1201</v>
      </c>
      <c r="I445" t="s">
        <v>100</v>
      </c>
      <c r="J445" t="s">
        <v>343</v>
      </c>
      <c r="K445" t="s">
        <v>35</v>
      </c>
      <c r="L445" s="1">
        <v>43422</v>
      </c>
      <c r="M445" s="2">
        <v>876881</v>
      </c>
      <c r="N445" s="2" t="s">
        <v>2950</v>
      </c>
      <c r="O445" t="s">
        <v>111</v>
      </c>
      <c r="P445" t="s">
        <v>152</v>
      </c>
      <c r="Q445" t="s">
        <v>65</v>
      </c>
      <c r="R445">
        <v>7.5</v>
      </c>
      <c r="S445" t="s">
        <v>2953</v>
      </c>
    </row>
    <row r="446" spans="1:19" x14ac:dyDescent="0.3">
      <c r="A446" t="s">
        <v>1211</v>
      </c>
      <c r="B446" t="s">
        <v>297</v>
      </c>
      <c r="C446" t="s">
        <v>133</v>
      </c>
      <c r="D446" t="s">
        <v>45</v>
      </c>
      <c r="E446">
        <v>46</v>
      </c>
      <c r="F446" t="s">
        <v>2947</v>
      </c>
      <c r="G446" t="s">
        <v>1203</v>
      </c>
      <c r="H446" t="s">
        <v>2688</v>
      </c>
      <c r="I446" t="s">
        <v>368</v>
      </c>
      <c r="J446" t="s">
        <v>599</v>
      </c>
      <c r="K446" t="s">
        <v>28</v>
      </c>
      <c r="L446" s="1">
        <v>44015</v>
      </c>
      <c r="M446" s="2">
        <v>560747</v>
      </c>
      <c r="N446" s="2" t="s">
        <v>2950</v>
      </c>
      <c r="O446" t="s">
        <v>111</v>
      </c>
      <c r="P446" t="s">
        <v>353</v>
      </c>
      <c r="Q446" t="s">
        <v>244</v>
      </c>
      <c r="R446">
        <v>5.9</v>
      </c>
      <c r="S446" t="s">
        <v>2953</v>
      </c>
    </row>
    <row r="447" spans="1:19" x14ac:dyDescent="0.3">
      <c r="A447" t="s">
        <v>1213</v>
      </c>
      <c r="B447" t="s">
        <v>301</v>
      </c>
      <c r="C447" t="s">
        <v>114</v>
      </c>
      <c r="D447" t="s">
        <v>45</v>
      </c>
      <c r="E447">
        <v>22</v>
      </c>
      <c r="F447" t="s">
        <v>2945</v>
      </c>
      <c r="G447" t="s">
        <v>1205</v>
      </c>
      <c r="H447" t="s">
        <v>2689</v>
      </c>
      <c r="I447" t="s">
        <v>53</v>
      </c>
      <c r="J447" t="s">
        <v>1028</v>
      </c>
      <c r="K447" t="s">
        <v>48</v>
      </c>
      <c r="L447" s="1">
        <v>42805</v>
      </c>
      <c r="M447" s="2">
        <v>334778</v>
      </c>
      <c r="N447" s="2" t="s">
        <v>2948</v>
      </c>
      <c r="O447" t="s">
        <v>216</v>
      </c>
      <c r="P447" t="s">
        <v>353</v>
      </c>
      <c r="Q447" t="s">
        <v>79</v>
      </c>
      <c r="R447">
        <v>8.5</v>
      </c>
      <c r="S447" t="s">
        <v>2951</v>
      </c>
    </row>
    <row r="448" spans="1:19" x14ac:dyDescent="0.3">
      <c r="A448" t="s">
        <v>1215</v>
      </c>
      <c r="B448" t="s">
        <v>37</v>
      </c>
      <c r="C448" t="s">
        <v>57</v>
      </c>
      <c r="D448" t="s">
        <v>45</v>
      </c>
      <c r="E448">
        <v>30</v>
      </c>
      <c r="F448" t="s">
        <v>2945</v>
      </c>
      <c r="G448" t="s">
        <v>2403</v>
      </c>
      <c r="H448" t="s">
        <v>1206</v>
      </c>
      <c r="I448" t="s">
        <v>394</v>
      </c>
      <c r="J448" t="s">
        <v>231</v>
      </c>
      <c r="K448" t="s">
        <v>48</v>
      </c>
      <c r="L448" s="1">
        <v>42106</v>
      </c>
      <c r="M448" s="2">
        <v>808658</v>
      </c>
      <c r="N448" s="2" t="s">
        <v>2950</v>
      </c>
      <c r="O448" t="s">
        <v>198</v>
      </c>
      <c r="P448" t="s">
        <v>205</v>
      </c>
      <c r="Q448" t="s">
        <v>65</v>
      </c>
      <c r="R448">
        <v>11.1</v>
      </c>
      <c r="S448" t="s">
        <v>2951</v>
      </c>
    </row>
    <row r="449" spans="1:19" x14ac:dyDescent="0.3">
      <c r="A449" t="s">
        <v>1217</v>
      </c>
      <c r="B449" t="s">
        <v>416</v>
      </c>
      <c r="C449" t="s">
        <v>475</v>
      </c>
      <c r="D449" t="s">
        <v>24</v>
      </c>
      <c r="E449">
        <v>25</v>
      </c>
      <c r="F449" t="s">
        <v>2945</v>
      </c>
      <c r="G449" t="s">
        <v>1208</v>
      </c>
      <c r="H449" t="s">
        <v>2690</v>
      </c>
      <c r="I449" t="s">
        <v>271</v>
      </c>
      <c r="J449" t="s">
        <v>1032</v>
      </c>
      <c r="K449" t="s">
        <v>48</v>
      </c>
      <c r="L449" s="1">
        <v>44121</v>
      </c>
      <c r="M449" s="2">
        <v>126616</v>
      </c>
      <c r="N449" s="2" t="s">
        <v>2949</v>
      </c>
      <c r="O449" t="s">
        <v>130</v>
      </c>
      <c r="P449" t="s">
        <v>353</v>
      </c>
      <c r="Q449" t="s">
        <v>72</v>
      </c>
      <c r="R449">
        <v>5.6</v>
      </c>
      <c r="S449" t="s">
        <v>2953</v>
      </c>
    </row>
    <row r="450" spans="1:19" x14ac:dyDescent="0.3">
      <c r="A450" t="s">
        <v>1219</v>
      </c>
      <c r="B450" t="s">
        <v>132</v>
      </c>
      <c r="C450" t="s">
        <v>318</v>
      </c>
      <c r="D450" t="s">
        <v>24</v>
      </c>
      <c r="E450">
        <v>30</v>
      </c>
      <c r="F450" t="s">
        <v>2945</v>
      </c>
      <c r="G450" t="s">
        <v>1210</v>
      </c>
      <c r="H450" t="s">
        <v>2369</v>
      </c>
      <c r="I450" t="s">
        <v>394</v>
      </c>
      <c r="J450" t="s">
        <v>727</v>
      </c>
      <c r="K450" t="s">
        <v>28</v>
      </c>
      <c r="L450" s="1">
        <v>44687</v>
      </c>
      <c r="M450" s="2">
        <v>301692</v>
      </c>
      <c r="N450" s="2" t="s">
        <v>2948</v>
      </c>
      <c r="O450" t="s">
        <v>111</v>
      </c>
      <c r="P450" t="s">
        <v>205</v>
      </c>
      <c r="Q450" t="s">
        <v>65</v>
      </c>
      <c r="R450">
        <v>4</v>
      </c>
      <c r="S450" t="s">
        <v>2952</v>
      </c>
    </row>
    <row r="451" spans="1:19" x14ac:dyDescent="0.3">
      <c r="A451" t="s">
        <v>1221</v>
      </c>
      <c r="B451" t="s">
        <v>359</v>
      </c>
      <c r="C451" t="s">
        <v>516</v>
      </c>
      <c r="D451" t="s">
        <v>24</v>
      </c>
      <c r="E451">
        <v>51</v>
      </c>
      <c r="F451" t="s">
        <v>2947</v>
      </c>
      <c r="G451" t="s">
        <v>2404</v>
      </c>
      <c r="H451" t="s">
        <v>1212</v>
      </c>
      <c r="I451" t="s">
        <v>209</v>
      </c>
      <c r="J451" t="s">
        <v>616</v>
      </c>
      <c r="K451" t="s">
        <v>35</v>
      </c>
      <c r="L451" s="1">
        <v>43807</v>
      </c>
      <c r="M451" s="2">
        <v>559113</v>
      </c>
      <c r="N451" s="2" t="s">
        <v>2950</v>
      </c>
      <c r="O451" t="s">
        <v>111</v>
      </c>
      <c r="P451" t="s">
        <v>353</v>
      </c>
      <c r="Q451" t="s">
        <v>244</v>
      </c>
      <c r="R451">
        <v>6.4</v>
      </c>
      <c r="S451" t="s">
        <v>2953</v>
      </c>
    </row>
    <row r="452" spans="1:19" x14ac:dyDescent="0.3">
      <c r="A452" t="s">
        <v>1224</v>
      </c>
      <c r="B452" t="s">
        <v>359</v>
      </c>
      <c r="C452" t="s">
        <v>287</v>
      </c>
      <c r="D452" t="s">
        <v>45</v>
      </c>
      <c r="E452">
        <v>47</v>
      </c>
      <c r="F452" t="s">
        <v>2947</v>
      </c>
      <c r="G452" t="s">
        <v>1214</v>
      </c>
      <c r="H452" t="s">
        <v>2691</v>
      </c>
      <c r="I452" t="s">
        <v>592</v>
      </c>
      <c r="J452" t="s">
        <v>1051</v>
      </c>
      <c r="K452" t="s">
        <v>28</v>
      </c>
      <c r="L452" s="1">
        <v>43514</v>
      </c>
      <c r="M452" s="2">
        <v>517973</v>
      </c>
      <c r="N452" s="2" t="s">
        <v>2950</v>
      </c>
      <c r="O452" t="s">
        <v>198</v>
      </c>
      <c r="P452" t="s">
        <v>90</v>
      </c>
      <c r="Q452" t="s">
        <v>79</v>
      </c>
      <c r="R452">
        <v>7.2</v>
      </c>
      <c r="S452" t="s">
        <v>2953</v>
      </c>
    </row>
    <row r="453" spans="1:19" x14ac:dyDescent="0.3">
      <c r="A453" t="s">
        <v>1225</v>
      </c>
      <c r="B453" t="s">
        <v>555</v>
      </c>
      <c r="C453" t="s">
        <v>183</v>
      </c>
      <c r="D453" t="s">
        <v>24</v>
      </c>
      <c r="E453">
        <v>30</v>
      </c>
      <c r="F453" t="s">
        <v>2945</v>
      </c>
      <c r="G453" t="s">
        <v>1216</v>
      </c>
      <c r="H453" t="s">
        <v>2369</v>
      </c>
      <c r="I453" t="s">
        <v>394</v>
      </c>
      <c r="J453" t="s">
        <v>519</v>
      </c>
      <c r="K453" t="s">
        <v>28</v>
      </c>
      <c r="L453" s="1">
        <v>43688</v>
      </c>
      <c r="M453" s="2">
        <v>777790</v>
      </c>
      <c r="N453" s="2" t="s">
        <v>2950</v>
      </c>
      <c r="O453" t="s">
        <v>41</v>
      </c>
      <c r="P453" t="s">
        <v>152</v>
      </c>
      <c r="Q453" t="s">
        <v>72</v>
      </c>
      <c r="R453">
        <v>6.8</v>
      </c>
      <c r="S453" t="s">
        <v>2953</v>
      </c>
    </row>
    <row r="454" spans="1:19" x14ac:dyDescent="0.3">
      <c r="A454" t="s">
        <v>2334</v>
      </c>
      <c r="B454" t="s">
        <v>37</v>
      </c>
      <c r="C454" t="s">
        <v>287</v>
      </c>
      <c r="D454" t="s">
        <v>45</v>
      </c>
      <c r="E454">
        <v>37</v>
      </c>
      <c r="F454" t="s">
        <v>2946</v>
      </c>
      <c r="G454" t="s">
        <v>1218</v>
      </c>
      <c r="H454" t="s">
        <v>2369</v>
      </c>
      <c r="I454" t="s">
        <v>368</v>
      </c>
      <c r="J454" t="s">
        <v>192</v>
      </c>
      <c r="K454" t="s">
        <v>28</v>
      </c>
      <c r="L454" s="1">
        <v>42971</v>
      </c>
      <c r="M454" s="2">
        <v>315838</v>
      </c>
      <c r="N454" s="2" t="s">
        <v>2948</v>
      </c>
      <c r="O454" t="s">
        <v>253</v>
      </c>
      <c r="P454" t="s">
        <v>353</v>
      </c>
      <c r="Q454" t="s">
        <v>65</v>
      </c>
      <c r="R454">
        <v>8.6999999999999993</v>
      </c>
      <c r="S454" t="s">
        <v>2951</v>
      </c>
    </row>
    <row r="455" spans="1:19" x14ac:dyDescent="0.3">
      <c r="A455" t="s">
        <v>1228</v>
      </c>
      <c r="B455" t="s">
        <v>175</v>
      </c>
      <c r="C455" t="s">
        <v>273</v>
      </c>
      <c r="D455" t="s">
        <v>24</v>
      </c>
      <c r="E455">
        <v>27</v>
      </c>
      <c r="F455" t="s">
        <v>2945</v>
      </c>
      <c r="G455" t="s">
        <v>1220</v>
      </c>
      <c r="H455" t="s">
        <v>2692</v>
      </c>
      <c r="I455" t="s">
        <v>271</v>
      </c>
      <c r="J455" t="s">
        <v>785</v>
      </c>
      <c r="K455" t="s">
        <v>28</v>
      </c>
      <c r="L455" s="1">
        <v>43153</v>
      </c>
      <c r="M455" s="2">
        <v>212616</v>
      </c>
      <c r="N455" s="2" t="s">
        <v>2948</v>
      </c>
      <c r="O455" t="s">
        <v>111</v>
      </c>
      <c r="P455" t="s">
        <v>205</v>
      </c>
      <c r="Q455" t="s">
        <v>158</v>
      </c>
      <c r="R455">
        <v>8.1999999999999993</v>
      </c>
      <c r="S455" t="s">
        <v>2951</v>
      </c>
    </row>
    <row r="456" spans="1:19" x14ac:dyDescent="0.3">
      <c r="A456" t="s">
        <v>1230</v>
      </c>
      <c r="B456" t="s">
        <v>103</v>
      </c>
      <c r="C456" t="s">
        <v>176</v>
      </c>
      <c r="D456" t="s">
        <v>45</v>
      </c>
      <c r="E456">
        <v>42</v>
      </c>
      <c r="F456" t="s">
        <v>2946</v>
      </c>
      <c r="G456" t="s">
        <v>1222</v>
      </c>
      <c r="H456" t="s">
        <v>2369</v>
      </c>
      <c r="I456" t="s">
        <v>235</v>
      </c>
      <c r="J456" t="s">
        <v>1223</v>
      </c>
      <c r="K456" t="s">
        <v>71</v>
      </c>
      <c r="L456" s="1">
        <v>42481</v>
      </c>
      <c r="M456" s="2">
        <v>395618</v>
      </c>
      <c r="N456" s="2" t="s">
        <v>2948</v>
      </c>
      <c r="O456" t="s">
        <v>111</v>
      </c>
      <c r="P456" t="s">
        <v>353</v>
      </c>
      <c r="Q456" t="s">
        <v>72</v>
      </c>
      <c r="R456">
        <v>10.1</v>
      </c>
      <c r="S456" t="s">
        <v>2951</v>
      </c>
    </row>
    <row r="457" spans="1:19" x14ac:dyDescent="0.3">
      <c r="A457" t="s">
        <v>1231</v>
      </c>
      <c r="B457" t="s">
        <v>30</v>
      </c>
      <c r="C457" t="s">
        <v>221</v>
      </c>
      <c r="D457" t="s">
        <v>24</v>
      </c>
      <c r="E457">
        <v>32</v>
      </c>
      <c r="F457" t="s">
        <v>2946</v>
      </c>
      <c r="G457" t="s">
        <v>2442</v>
      </c>
      <c r="H457" t="s">
        <v>2693</v>
      </c>
      <c r="I457" t="s">
        <v>517</v>
      </c>
      <c r="J457" t="s">
        <v>365</v>
      </c>
      <c r="K457" t="s">
        <v>48</v>
      </c>
      <c r="M457" s="2">
        <v>283419</v>
      </c>
      <c r="N457" s="2" t="s">
        <v>2948</v>
      </c>
      <c r="O457" t="s">
        <v>41</v>
      </c>
      <c r="P457" t="s">
        <v>21</v>
      </c>
      <c r="Q457" t="s">
        <v>72</v>
      </c>
      <c r="R457">
        <v>5.8</v>
      </c>
      <c r="S457" t="s">
        <v>2953</v>
      </c>
    </row>
    <row r="458" spans="1:19" x14ac:dyDescent="0.3">
      <c r="A458" t="s">
        <v>1233</v>
      </c>
      <c r="B458" t="s">
        <v>37</v>
      </c>
      <c r="C458" t="s">
        <v>155</v>
      </c>
      <c r="D458" t="s">
        <v>45</v>
      </c>
      <c r="E458">
        <v>34</v>
      </c>
      <c r="F458" t="s">
        <v>2946</v>
      </c>
      <c r="G458" t="s">
        <v>1226</v>
      </c>
      <c r="H458" t="s">
        <v>2369</v>
      </c>
      <c r="I458" t="s">
        <v>271</v>
      </c>
      <c r="J458" t="s">
        <v>143</v>
      </c>
      <c r="K458" t="s">
        <v>71</v>
      </c>
      <c r="L458" s="1">
        <v>43139</v>
      </c>
      <c r="M458" s="2">
        <v>565610</v>
      </c>
      <c r="N458" s="2" t="s">
        <v>2950</v>
      </c>
      <c r="O458" t="s">
        <v>216</v>
      </c>
      <c r="P458" t="s">
        <v>152</v>
      </c>
      <c r="Q458" t="s">
        <v>244</v>
      </c>
      <c r="R458">
        <v>7.8</v>
      </c>
      <c r="S458" t="s">
        <v>2953</v>
      </c>
    </row>
    <row r="459" spans="1:19" x14ac:dyDescent="0.3">
      <c r="A459" t="s">
        <v>1236</v>
      </c>
      <c r="B459" t="s">
        <v>310</v>
      </c>
      <c r="C459" t="s">
        <v>50</v>
      </c>
      <c r="D459" t="s">
        <v>24</v>
      </c>
      <c r="E459">
        <v>33</v>
      </c>
      <c r="F459" t="s">
        <v>2946</v>
      </c>
      <c r="G459" t="s">
        <v>1227</v>
      </c>
      <c r="H459" t="s">
        <v>2694</v>
      </c>
      <c r="I459" t="s">
        <v>235</v>
      </c>
      <c r="J459" t="s">
        <v>338</v>
      </c>
      <c r="K459" t="s">
        <v>48</v>
      </c>
      <c r="L459" s="1">
        <v>44143</v>
      </c>
      <c r="M459" s="2">
        <v>712700</v>
      </c>
      <c r="N459" s="2" t="s">
        <v>2950</v>
      </c>
      <c r="O459" t="s">
        <v>216</v>
      </c>
      <c r="P459" t="s">
        <v>353</v>
      </c>
      <c r="Q459" t="s">
        <v>65</v>
      </c>
      <c r="R459">
        <v>5.5</v>
      </c>
      <c r="S459" t="s">
        <v>2953</v>
      </c>
    </row>
    <row r="460" spans="1:19" x14ac:dyDescent="0.3">
      <c r="A460" t="s">
        <v>2335</v>
      </c>
      <c r="B460" t="s">
        <v>67</v>
      </c>
      <c r="C460" t="s">
        <v>408</v>
      </c>
      <c r="D460" t="s">
        <v>24</v>
      </c>
      <c r="E460">
        <v>49</v>
      </c>
      <c r="F460" t="s">
        <v>2947</v>
      </c>
      <c r="G460" t="s">
        <v>1229</v>
      </c>
      <c r="H460" t="s">
        <v>2695</v>
      </c>
      <c r="I460" t="s">
        <v>100</v>
      </c>
      <c r="J460" t="s">
        <v>64</v>
      </c>
      <c r="K460" t="s">
        <v>48</v>
      </c>
      <c r="L460" s="1">
        <v>44024</v>
      </c>
      <c r="M460" s="2">
        <v>778582</v>
      </c>
      <c r="N460" s="2" t="s">
        <v>2950</v>
      </c>
      <c r="O460" t="s">
        <v>41</v>
      </c>
      <c r="P460" t="s">
        <v>21</v>
      </c>
      <c r="Q460" t="s">
        <v>244</v>
      </c>
      <c r="R460">
        <v>5.8</v>
      </c>
      <c r="S460" t="s">
        <v>2953</v>
      </c>
    </row>
    <row r="461" spans="1:19" x14ac:dyDescent="0.3">
      <c r="A461" t="s">
        <v>1240</v>
      </c>
      <c r="B461" t="s">
        <v>259</v>
      </c>
      <c r="C461" t="s">
        <v>93</v>
      </c>
      <c r="D461" t="s">
        <v>45</v>
      </c>
      <c r="E461">
        <v>52</v>
      </c>
      <c r="F461" t="s">
        <v>2947</v>
      </c>
      <c r="G461" t="s">
        <v>2405</v>
      </c>
      <c r="H461" t="s">
        <v>2696</v>
      </c>
      <c r="I461" t="s">
        <v>485</v>
      </c>
      <c r="J461" t="s">
        <v>559</v>
      </c>
      <c r="K461" t="s">
        <v>48</v>
      </c>
      <c r="L461" s="1">
        <v>43600</v>
      </c>
      <c r="M461" s="2">
        <v>334010</v>
      </c>
      <c r="N461" s="2" t="s">
        <v>2948</v>
      </c>
      <c r="O461" t="s">
        <v>253</v>
      </c>
      <c r="P461" t="s">
        <v>21</v>
      </c>
      <c r="Q461" t="s">
        <v>79</v>
      </c>
      <c r="R461">
        <v>7</v>
      </c>
      <c r="S461" t="s">
        <v>2953</v>
      </c>
    </row>
    <row r="462" spans="1:19" x14ac:dyDescent="0.3">
      <c r="A462" t="s">
        <v>1243</v>
      </c>
      <c r="B462" t="s">
        <v>416</v>
      </c>
      <c r="C462" t="s">
        <v>213</v>
      </c>
      <c r="D462" t="s">
        <v>24</v>
      </c>
      <c r="E462">
        <v>33</v>
      </c>
      <c r="F462" t="s">
        <v>2946</v>
      </c>
      <c r="G462" t="s">
        <v>2406</v>
      </c>
      <c r="H462" t="s">
        <v>1232</v>
      </c>
      <c r="I462" t="s">
        <v>485</v>
      </c>
      <c r="J462" t="s">
        <v>676</v>
      </c>
      <c r="K462" t="s">
        <v>71</v>
      </c>
      <c r="L462" s="1">
        <v>44334</v>
      </c>
      <c r="M462" s="2">
        <v>156253</v>
      </c>
      <c r="N462" s="2" t="s">
        <v>2949</v>
      </c>
      <c r="O462" t="s">
        <v>130</v>
      </c>
      <c r="P462" t="s">
        <v>205</v>
      </c>
      <c r="Q462" t="s">
        <v>158</v>
      </c>
      <c r="R462">
        <v>5</v>
      </c>
      <c r="S462" t="s">
        <v>2952</v>
      </c>
    </row>
    <row r="463" spans="1:19" x14ac:dyDescent="0.3">
      <c r="A463" t="s">
        <v>1245</v>
      </c>
      <c r="B463" t="s">
        <v>385</v>
      </c>
      <c r="C463" t="s">
        <v>82</v>
      </c>
      <c r="D463" t="s">
        <v>24</v>
      </c>
      <c r="E463">
        <v>51</v>
      </c>
      <c r="F463" t="s">
        <v>2947</v>
      </c>
      <c r="G463" t="s">
        <v>1234</v>
      </c>
      <c r="H463" t="s">
        <v>1235</v>
      </c>
      <c r="I463" t="s">
        <v>235</v>
      </c>
      <c r="J463" t="s">
        <v>338</v>
      </c>
      <c r="K463" t="s">
        <v>35</v>
      </c>
      <c r="L463" s="1">
        <v>44545</v>
      </c>
      <c r="M463" s="2">
        <v>503135</v>
      </c>
      <c r="N463" s="2" t="s">
        <v>2950</v>
      </c>
      <c r="O463" t="s">
        <v>253</v>
      </c>
      <c r="P463" t="s">
        <v>90</v>
      </c>
      <c r="Q463" t="s">
        <v>65</v>
      </c>
      <c r="R463">
        <v>4.4000000000000004</v>
      </c>
      <c r="S463" t="s">
        <v>2952</v>
      </c>
    </row>
    <row r="464" spans="1:19" x14ac:dyDescent="0.3">
      <c r="A464" t="s">
        <v>2336</v>
      </c>
      <c r="B464" t="s">
        <v>56</v>
      </c>
      <c r="C464" t="s">
        <v>327</v>
      </c>
      <c r="D464" t="s">
        <v>24</v>
      </c>
      <c r="E464">
        <v>54</v>
      </c>
      <c r="F464" t="s">
        <v>2947</v>
      </c>
      <c r="G464" t="s">
        <v>1237</v>
      </c>
      <c r="H464" t="s">
        <v>2697</v>
      </c>
      <c r="I464" t="s">
        <v>592</v>
      </c>
      <c r="J464" t="s">
        <v>550</v>
      </c>
      <c r="K464" t="s">
        <v>35</v>
      </c>
      <c r="L464" s="1">
        <v>42776</v>
      </c>
      <c r="M464" s="2">
        <v>112377</v>
      </c>
      <c r="N464" s="2" t="s">
        <v>2949</v>
      </c>
      <c r="O464" t="s">
        <v>41</v>
      </c>
      <c r="P464" t="s">
        <v>21</v>
      </c>
      <c r="Q464" t="s">
        <v>79</v>
      </c>
      <c r="R464">
        <v>9.3000000000000007</v>
      </c>
      <c r="S464" t="s">
        <v>2951</v>
      </c>
    </row>
    <row r="465" spans="1:19" x14ac:dyDescent="0.3">
      <c r="A465" t="s">
        <v>1250</v>
      </c>
      <c r="B465" t="s">
        <v>385</v>
      </c>
      <c r="C465" t="s">
        <v>273</v>
      </c>
      <c r="D465" t="s">
        <v>45</v>
      </c>
      <c r="E465">
        <v>43</v>
      </c>
      <c r="F465" t="s">
        <v>2946</v>
      </c>
      <c r="G465" t="s">
        <v>1238</v>
      </c>
      <c r="H465" t="s">
        <v>1239</v>
      </c>
      <c r="I465" t="s">
        <v>485</v>
      </c>
      <c r="J465" t="s">
        <v>179</v>
      </c>
      <c r="K465" t="s">
        <v>71</v>
      </c>
      <c r="L465" s="1">
        <v>42143</v>
      </c>
      <c r="M465" s="2">
        <v>349412</v>
      </c>
      <c r="N465" s="2" t="s">
        <v>2948</v>
      </c>
      <c r="O465" t="s">
        <v>130</v>
      </c>
      <c r="P465" t="s">
        <v>21</v>
      </c>
      <c r="Q465" t="s">
        <v>244</v>
      </c>
      <c r="R465">
        <v>11</v>
      </c>
      <c r="S465" t="s">
        <v>2951</v>
      </c>
    </row>
    <row r="466" spans="1:19" x14ac:dyDescent="0.3">
      <c r="A466" t="s">
        <v>1253</v>
      </c>
      <c r="B466" t="s">
        <v>233</v>
      </c>
      <c r="C466" t="s">
        <v>23</v>
      </c>
      <c r="D466" t="s">
        <v>24</v>
      </c>
      <c r="E466">
        <v>47</v>
      </c>
      <c r="F466" t="s">
        <v>2947</v>
      </c>
      <c r="G466" t="s">
        <v>1241</v>
      </c>
      <c r="H466" t="s">
        <v>1242</v>
      </c>
      <c r="I466" t="s">
        <v>53</v>
      </c>
      <c r="J466" t="s">
        <v>316</v>
      </c>
      <c r="K466" t="s">
        <v>71</v>
      </c>
      <c r="L466" s="1">
        <v>43378</v>
      </c>
      <c r="M466" s="2">
        <v>721439</v>
      </c>
      <c r="N466" s="2" t="s">
        <v>2950</v>
      </c>
      <c r="O466" t="s">
        <v>111</v>
      </c>
      <c r="P466" t="s">
        <v>21</v>
      </c>
      <c r="Q466" t="s">
        <v>79</v>
      </c>
      <c r="R466">
        <v>7.6</v>
      </c>
      <c r="S466" t="s">
        <v>2953</v>
      </c>
    </row>
    <row r="467" spans="1:19" x14ac:dyDescent="0.3">
      <c r="A467" t="s">
        <v>1255</v>
      </c>
      <c r="B467" t="s">
        <v>103</v>
      </c>
      <c r="C467" t="s">
        <v>44</v>
      </c>
      <c r="D467" t="s">
        <v>45</v>
      </c>
      <c r="E467">
        <v>52</v>
      </c>
      <c r="F467" t="s">
        <v>2947</v>
      </c>
      <c r="G467" t="s">
        <v>1244</v>
      </c>
      <c r="H467" t="s">
        <v>2698</v>
      </c>
      <c r="I467" t="s">
        <v>53</v>
      </c>
      <c r="J467" t="s">
        <v>712</v>
      </c>
      <c r="K467" t="s">
        <v>28</v>
      </c>
      <c r="L467" s="1">
        <v>44484</v>
      </c>
      <c r="M467" s="2">
        <v>838068</v>
      </c>
      <c r="N467" s="2" t="s">
        <v>2950</v>
      </c>
      <c r="O467" t="s">
        <v>198</v>
      </c>
      <c r="P467" t="s">
        <v>152</v>
      </c>
      <c r="Q467" t="s">
        <v>65</v>
      </c>
      <c r="R467">
        <v>4.5999999999999996</v>
      </c>
      <c r="S467" t="s">
        <v>2952</v>
      </c>
    </row>
    <row r="468" spans="1:19" x14ac:dyDescent="0.3">
      <c r="A468" t="s">
        <v>1257</v>
      </c>
      <c r="B468" t="s">
        <v>145</v>
      </c>
      <c r="C468" t="s">
        <v>57</v>
      </c>
      <c r="D468" t="s">
        <v>45</v>
      </c>
      <c r="E468">
        <v>25</v>
      </c>
      <c r="F468" t="s">
        <v>2945</v>
      </c>
      <c r="G468" t="s">
        <v>1246</v>
      </c>
      <c r="H468" t="s">
        <v>1247</v>
      </c>
      <c r="I468" t="s">
        <v>100</v>
      </c>
      <c r="J468" t="s">
        <v>1248</v>
      </c>
      <c r="K468" t="s">
        <v>71</v>
      </c>
      <c r="L468" s="1">
        <v>42832</v>
      </c>
      <c r="M468" s="2">
        <v>674095</v>
      </c>
      <c r="N468" s="2" t="s">
        <v>2950</v>
      </c>
      <c r="O468" t="s">
        <v>130</v>
      </c>
      <c r="P468" t="s">
        <v>353</v>
      </c>
      <c r="Q468" t="s">
        <v>65</v>
      </c>
      <c r="R468">
        <v>8.9</v>
      </c>
      <c r="S468" t="s">
        <v>2951</v>
      </c>
    </row>
    <row r="469" spans="1:19" x14ac:dyDescent="0.3">
      <c r="A469" t="s">
        <v>1260</v>
      </c>
      <c r="B469" t="s">
        <v>359</v>
      </c>
      <c r="C469" t="s">
        <v>93</v>
      </c>
      <c r="D469" t="s">
        <v>45</v>
      </c>
      <c r="E469">
        <v>30</v>
      </c>
      <c r="F469" t="s">
        <v>2945</v>
      </c>
      <c r="G469" t="s">
        <v>1249</v>
      </c>
      <c r="H469" t="s">
        <v>2369</v>
      </c>
      <c r="I469" t="s">
        <v>394</v>
      </c>
      <c r="J469" t="s">
        <v>883</v>
      </c>
      <c r="K469" t="s">
        <v>71</v>
      </c>
      <c r="L469" s="1">
        <v>43673</v>
      </c>
      <c r="M469" s="2">
        <v>245225</v>
      </c>
      <c r="N469" s="2" t="s">
        <v>2948</v>
      </c>
      <c r="O469" t="s">
        <v>130</v>
      </c>
      <c r="P469" t="s">
        <v>21</v>
      </c>
      <c r="Q469" t="s">
        <v>158</v>
      </c>
      <c r="R469">
        <v>6.8</v>
      </c>
      <c r="S469" t="s">
        <v>2953</v>
      </c>
    </row>
    <row r="470" spans="1:19" x14ac:dyDescent="0.3">
      <c r="A470" t="s">
        <v>1262</v>
      </c>
      <c r="B470" t="s">
        <v>412</v>
      </c>
      <c r="C470" t="s">
        <v>149</v>
      </c>
      <c r="D470" t="s">
        <v>24</v>
      </c>
      <c r="E470">
        <v>25</v>
      </c>
      <c r="F470" t="s">
        <v>2945</v>
      </c>
      <c r="G470" t="s">
        <v>1251</v>
      </c>
      <c r="H470" t="s">
        <v>1252</v>
      </c>
      <c r="I470" t="s">
        <v>235</v>
      </c>
      <c r="J470" t="s">
        <v>880</v>
      </c>
      <c r="K470" t="s">
        <v>28</v>
      </c>
      <c r="L470" s="1">
        <v>42856</v>
      </c>
      <c r="M470" s="2">
        <v>414010</v>
      </c>
      <c r="N470" s="2" t="s">
        <v>2948</v>
      </c>
      <c r="O470" t="s">
        <v>111</v>
      </c>
      <c r="P470" t="s">
        <v>205</v>
      </c>
      <c r="Q470" t="s">
        <v>65</v>
      </c>
      <c r="R470">
        <v>9</v>
      </c>
      <c r="S470" t="s">
        <v>2951</v>
      </c>
    </row>
    <row r="471" spans="1:19" x14ac:dyDescent="0.3">
      <c r="A471" t="s">
        <v>1264</v>
      </c>
      <c r="B471" t="s">
        <v>347</v>
      </c>
      <c r="C471" t="s">
        <v>108</v>
      </c>
      <c r="D471" t="s">
        <v>45</v>
      </c>
      <c r="E471">
        <v>50</v>
      </c>
      <c r="F471" t="s">
        <v>2947</v>
      </c>
      <c r="G471" t="s">
        <v>1254</v>
      </c>
      <c r="H471" t="s">
        <v>2699</v>
      </c>
      <c r="I471" t="s">
        <v>592</v>
      </c>
      <c r="J471" t="s">
        <v>34</v>
      </c>
      <c r="K471" t="s">
        <v>35</v>
      </c>
      <c r="M471" s="2">
        <v>91226</v>
      </c>
      <c r="N471" s="2" t="s">
        <v>2949</v>
      </c>
      <c r="O471" t="s">
        <v>130</v>
      </c>
      <c r="P471" t="s">
        <v>205</v>
      </c>
      <c r="Q471" t="s">
        <v>244</v>
      </c>
      <c r="R471">
        <v>7.3</v>
      </c>
      <c r="S471" t="s">
        <v>2953</v>
      </c>
    </row>
    <row r="472" spans="1:19" x14ac:dyDescent="0.3">
      <c r="A472" t="s">
        <v>1266</v>
      </c>
      <c r="B472" t="s">
        <v>148</v>
      </c>
      <c r="C472" t="s">
        <v>108</v>
      </c>
      <c r="D472" t="s">
        <v>24</v>
      </c>
      <c r="E472">
        <v>50</v>
      </c>
      <c r="F472" t="s">
        <v>2947</v>
      </c>
      <c r="G472" t="s">
        <v>1256</v>
      </c>
      <c r="H472" t="s">
        <v>2369</v>
      </c>
      <c r="I472" t="s">
        <v>100</v>
      </c>
      <c r="J472" t="s">
        <v>421</v>
      </c>
      <c r="K472" t="s">
        <v>48</v>
      </c>
      <c r="L472" s="1">
        <v>43534</v>
      </c>
      <c r="M472" s="2">
        <v>141330</v>
      </c>
      <c r="N472" s="2" t="s">
        <v>2949</v>
      </c>
      <c r="O472" t="s">
        <v>253</v>
      </c>
      <c r="P472" t="s">
        <v>90</v>
      </c>
      <c r="Q472" t="s">
        <v>158</v>
      </c>
      <c r="R472">
        <v>7.2</v>
      </c>
      <c r="S472" t="s">
        <v>2953</v>
      </c>
    </row>
    <row r="473" spans="1:19" x14ac:dyDescent="0.3">
      <c r="A473" t="s">
        <v>1268</v>
      </c>
      <c r="B473" t="s">
        <v>301</v>
      </c>
      <c r="C473" t="s">
        <v>114</v>
      </c>
      <c r="D473" t="s">
        <v>24</v>
      </c>
      <c r="F473" t="s">
        <v>2369</v>
      </c>
      <c r="G473" t="s">
        <v>1258</v>
      </c>
      <c r="H473" t="s">
        <v>1259</v>
      </c>
      <c r="I473" t="s">
        <v>394</v>
      </c>
      <c r="J473" t="s">
        <v>727</v>
      </c>
      <c r="K473" t="s">
        <v>35</v>
      </c>
      <c r="L473" s="1">
        <v>44082</v>
      </c>
      <c r="M473" s="2">
        <v>839910</v>
      </c>
      <c r="N473" s="2" t="s">
        <v>2950</v>
      </c>
      <c r="O473" t="s">
        <v>130</v>
      </c>
      <c r="P473" t="s">
        <v>21</v>
      </c>
      <c r="Q473" t="s">
        <v>244</v>
      </c>
      <c r="R473">
        <v>5.7</v>
      </c>
      <c r="S473" t="s">
        <v>2953</v>
      </c>
    </row>
    <row r="474" spans="1:19" x14ac:dyDescent="0.3">
      <c r="A474" t="s">
        <v>2337</v>
      </c>
      <c r="B474" t="s">
        <v>113</v>
      </c>
      <c r="C474" t="s">
        <v>18</v>
      </c>
      <c r="D474" t="s">
        <v>24</v>
      </c>
      <c r="E474">
        <v>53</v>
      </c>
      <c r="F474" t="s">
        <v>2947</v>
      </c>
      <c r="G474" t="s">
        <v>1261</v>
      </c>
      <c r="H474" t="s">
        <v>2369</v>
      </c>
      <c r="I474" t="s">
        <v>517</v>
      </c>
      <c r="J474" t="s">
        <v>596</v>
      </c>
      <c r="K474" t="s">
        <v>71</v>
      </c>
      <c r="L474" s="1">
        <v>42723</v>
      </c>
      <c r="N474" s="2" t="s">
        <v>2369</v>
      </c>
      <c r="O474" t="s">
        <v>111</v>
      </c>
      <c r="P474" t="s">
        <v>353</v>
      </c>
      <c r="Q474" t="s">
        <v>158</v>
      </c>
      <c r="R474">
        <v>9.4</v>
      </c>
      <c r="S474" t="s">
        <v>2951</v>
      </c>
    </row>
    <row r="475" spans="1:19" x14ac:dyDescent="0.3">
      <c r="A475" t="s">
        <v>1273</v>
      </c>
      <c r="B475" t="s">
        <v>148</v>
      </c>
      <c r="C475" t="s">
        <v>277</v>
      </c>
      <c r="D475" t="s">
        <v>45</v>
      </c>
      <c r="E475">
        <v>54</v>
      </c>
      <c r="F475" t="s">
        <v>2947</v>
      </c>
      <c r="G475" t="s">
        <v>1263</v>
      </c>
      <c r="H475" t="s">
        <v>2700</v>
      </c>
      <c r="I475" t="s">
        <v>485</v>
      </c>
      <c r="J475" t="s">
        <v>185</v>
      </c>
      <c r="K475" t="s">
        <v>48</v>
      </c>
      <c r="M475" s="2">
        <v>883162</v>
      </c>
      <c r="N475" s="2" t="s">
        <v>2950</v>
      </c>
      <c r="O475" t="s">
        <v>130</v>
      </c>
      <c r="P475" t="s">
        <v>90</v>
      </c>
      <c r="Q475" t="s">
        <v>72</v>
      </c>
      <c r="R475">
        <v>7.1</v>
      </c>
      <c r="S475" t="s">
        <v>2953</v>
      </c>
    </row>
    <row r="476" spans="1:19" x14ac:dyDescent="0.3">
      <c r="A476" t="s">
        <v>1276</v>
      </c>
      <c r="B476" t="s">
        <v>148</v>
      </c>
      <c r="C476" t="s">
        <v>183</v>
      </c>
      <c r="D476" t="s">
        <v>45</v>
      </c>
      <c r="E476">
        <v>48</v>
      </c>
      <c r="F476" t="s">
        <v>2947</v>
      </c>
      <c r="G476" t="s">
        <v>1265</v>
      </c>
      <c r="H476" t="s">
        <v>2701</v>
      </c>
      <c r="I476" t="s">
        <v>209</v>
      </c>
      <c r="J476" t="s">
        <v>166</v>
      </c>
      <c r="K476" t="s">
        <v>71</v>
      </c>
      <c r="L476" s="1">
        <v>42297</v>
      </c>
      <c r="M476" s="2">
        <v>418249</v>
      </c>
      <c r="N476" s="2" t="s">
        <v>2948</v>
      </c>
      <c r="O476" t="s">
        <v>111</v>
      </c>
      <c r="P476" t="s">
        <v>205</v>
      </c>
      <c r="Q476" t="s">
        <v>244</v>
      </c>
      <c r="R476">
        <v>10.6</v>
      </c>
      <c r="S476" t="s">
        <v>2951</v>
      </c>
    </row>
    <row r="477" spans="1:19" x14ac:dyDescent="0.3">
      <c r="A477" t="s">
        <v>1278</v>
      </c>
      <c r="B477" t="s">
        <v>43</v>
      </c>
      <c r="C477" t="s">
        <v>229</v>
      </c>
      <c r="D477" t="s">
        <v>24</v>
      </c>
      <c r="E477">
        <v>33</v>
      </c>
      <c r="F477" t="s">
        <v>2946</v>
      </c>
      <c r="G477" t="s">
        <v>1267</v>
      </c>
      <c r="H477" t="s">
        <v>2369</v>
      </c>
      <c r="I477" t="s">
        <v>271</v>
      </c>
      <c r="J477" t="s">
        <v>40</v>
      </c>
      <c r="K477" t="s">
        <v>28</v>
      </c>
      <c r="L477" s="1">
        <v>42626</v>
      </c>
      <c r="M477" s="2">
        <v>178944</v>
      </c>
      <c r="N477" s="2" t="s">
        <v>2949</v>
      </c>
      <c r="O477" t="s">
        <v>130</v>
      </c>
      <c r="P477" t="s">
        <v>205</v>
      </c>
      <c r="Q477" t="s">
        <v>79</v>
      </c>
      <c r="R477">
        <v>9.6999999999999993</v>
      </c>
      <c r="S477" t="s">
        <v>2951</v>
      </c>
    </row>
    <row r="478" spans="1:19" x14ac:dyDescent="0.3">
      <c r="A478" t="s">
        <v>1280</v>
      </c>
      <c r="B478" t="s">
        <v>17</v>
      </c>
      <c r="C478" t="s">
        <v>249</v>
      </c>
      <c r="D478" t="s">
        <v>45</v>
      </c>
      <c r="E478">
        <v>29</v>
      </c>
      <c r="F478" t="s">
        <v>2945</v>
      </c>
      <c r="G478" t="s">
        <v>1269</v>
      </c>
      <c r="H478" t="s">
        <v>1270</v>
      </c>
      <c r="I478" t="s">
        <v>394</v>
      </c>
      <c r="J478" t="s">
        <v>401</v>
      </c>
      <c r="K478" t="s">
        <v>48</v>
      </c>
      <c r="L478" s="1">
        <v>43278</v>
      </c>
      <c r="M478" s="2">
        <v>892720</v>
      </c>
      <c r="N478" s="2" t="s">
        <v>2950</v>
      </c>
      <c r="O478" t="s">
        <v>130</v>
      </c>
      <c r="P478" t="s">
        <v>152</v>
      </c>
      <c r="Q478" t="s">
        <v>65</v>
      </c>
      <c r="R478">
        <v>7.9</v>
      </c>
      <c r="S478" t="s">
        <v>2953</v>
      </c>
    </row>
    <row r="479" spans="1:19" x14ac:dyDescent="0.3">
      <c r="A479" t="s">
        <v>2338</v>
      </c>
      <c r="B479" t="s">
        <v>30</v>
      </c>
      <c r="C479" t="s">
        <v>475</v>
      </c>
      <c r="D479" t="s">
        <v>24</v>
      </c>
      <c r="E479">
        <v>57</v>
      </c>
      <c r="F479" t="s">
        <v>2947</v>
      </c>
      <c r="G479" t="s">
        <v>1271</v>
      </c>
      <c r="H479" t="s">
        <v>1272</v>
      </c>
      <c r="I479" t="s">
        <v>53</v>
      </c>
      <c r="J479" t="s">
        <v>390</v>
      </c>
      <c r="K479" t="s">
        <v>71</v>
      </c>
      <c r="L479" s="1">
        <v>42459</v>
      </c>
      <c r="M479" s="2">
        <v>851076</v>
      </c>
      <c r="N479" s="2" t="s">
        <v>2950</v>
      </c>
      <c r="O479" t="s">
        <v>41</v>
      </c>
      <c r="P479" t="s">
        <v>21</v>
      </c>
      <c r="Q479" t="s">
        <v>244</v>
      </c>
      <c r="R479">
        <v>10.1</v>
      </c>
      <c r="S479" t="s">
        <v>2951</v>
      </c>
    </row>
    <row r="480" spans="1:19" x14ac:dyDescent="0.3">
      <c r="A480" t="s">
        <v>1284</v>
      </c>
      <c r="B480" t="s">
        <v>148</v>
      </c>
      <c r="C480" t="s">
        <v>98</v>
      </c>
      <c r="D480" t="s">
        <v>45</v>
      </c>
      <c r="E480">
        <v>57</v>
      </c>
      <c r="F480" t="s">
        <v>2947</v>
      </c>
      <c r="G480" t="s">
        <v>1274</v>
      </c>
      <c r="H480" t="s">
        <v>1275</v>
      </c>
      <c r="I480" t="s">
        <v>592</v>
      </c>
      <c r="J480" t="s">
        <v>140</v>
      </c>
      <c r="K480" t="s">
        <v>71</v>
      </c>
      <c r="L480" s="1">
        <v>42935</v>
      </c>
      <c r="M480" s="2">
        <v>265923</v>
      </c>
      <c r="N480" s="2" t="s">
        <v>2948</v>
      </c>
      <c r="O480" t="s">
        <v>130</v>
      </c>
      <c r="P480" t="s">
        <v>205</v>
      </c>
      <c r="Q480" t="s">
        <v>65</v>
      </c>
      <c r="R480">
        <v>8.8000000000000007</v>
      </c>
      <c r="S480" t="s">
        <v>2951</v>
      </c>
    </row>
    <row r="481" spans="1:19" x14ac:dyDescent="0.3">
      <c r="A481" t="s">
        <v>1286</v>
      </c>
      <c r="B481" t="s">
        <v>377</v>
      </c>
      <c r="C481" t="s">
        <v>516</v>
      </c>
      <c r="D481" t="s">
        <v>24</v>
      </c>
      <c r="E481">
        <v>26</v>
      </c>
      <c r="F481" t="s">
        <v>2945</v>
      </c>
      <c r="G481" t="s">
        <v>1277</v>
      </c>
      <c r="H481" t="s">
        <v>2702</v>
      </c>
      <c r="I481" t="s">
        <v>100</v>
      </c>
      <c r="J481" t="s">
        <v>274</v>
      </c>
      <c r="K481" t="s">
        <v>35</v>
      </c>
      <c r="L481" s="1">
        <v>44462</v>
      </c>
      <c r="M481" s="2">
        <v>843701</v>
      </c>
      <c r="N481" s="2" t="s">
        <v>2950</v>
      </c>
      <c r="O481" t="s">
        <v>216</v>
      </c>
      <c r="P481" t="s">
        <v>205</v>
      </c>
      <c r="Q481" t="s">
        <v>244</v>
      </c>
      <c r="R481">
        <v>4.5999999999999996</v>
      </c>
      <c r="S481" t="s">
        <v>2952</v>
      </c>
    </row>
    <row r="482" spans="1:19" x14ac:dyDescent="0.3">
      <c r="A482" t="s">
        <v>1289</v>
      </c>
      <c r="B482" t="s">
        <v>113</v>
      </c>
      <c r="C482" t="s">
        <v>221</v>
      </c>
      <c r="D482" t="s">
        <v>24</v>
      </c>
      <c r="E482">
        <v>45</v>
      </c>
      <c r="F482" t="s">
        <v>2946</v>
      </c>
      <c r="G482" t="s">
        <v>1279</v>
      </c>
      <c r="H482" t="s">
        <v>2703</v>
      </c>
      <c r="I482" t="s">
        <v>368</v>
      </c>
      <c r="J482" t="s">
        <v>1174</v>
      </c>
      <c r="K482" t="s">
        <v>48</v>
      </c>
      <c r="L482" s="1">
        <v>43605</v>
      </c>
      <c r="M482" s="2">
        <v>475177</v>
      </c>
      <c r="N482" s="2" t="s">
        <v>2948</v>
      </c>
      <c r="O482" t="s">
        <v>253</v>
      </c>
      <c r="P482" t="s">
        <v>90</v>
      </c>
      <c r="Q482" t="s">
        <v>65</v>
      </c>
      <c r="R482">
        <v>7</v>
      </c>
      <c r="S482" t="s">
        <v>2953</v>
      </c>
    </row>
    <row r="483" spans="1:19" x14ac:dyDescent="0.3">
      <c r="A483" t="s">
        <v>1292</v>
      </c>
      <c r="B483" t="s">
        <v>44</v>
      </c>
      <c r="C483" t="s">
        <v>31</v>
      </c>
      <c r="D483" t="s">
        <v>24</v>
      </c>
      <c r="E483">
        <v>41</v>
      </c>
      <c r="F483" t="s">
        <v>2946</v>
      </c>
      <c r="G483" t="s">
        <v>873</v>
      </c>
      <c r="H483" t="s">
        <v>1281</v>
      </c>
      <c r="I483" t="s">
        <v>368</v>
      </c>
      <c r="J483" t="s">
        <v>192</v>
      </c>
      <c r="K483" t="s">
        <v>71</v>
      </c>
      <c r="L483" s="1">
        <v>44443</v>
      </c>
      <c r="M483" s="2">
        <v>559497</v>
      </c>
      <c r="N483" s="2" t="s">
        <v>2950</v>
      </c>
      <c r="O483" t="s">
        <v>216</v>
      </c>
      <c r="P483" t="s">
        <v>205</v>
      </c>
      <c r="Q483" t="s">
        <v>72</v>
      </c>
      <c r="R483">
        <v>4.7</v>
      </c>
      <c r="S483" t="s">
        <v>2952</v>
      </c>
    </row>
    <row r="484" spans="1:19" x14ac:dyDescent="0.3">
      <c r="A484" t="s">
        <v>1294</v>
      </c>
      <c r="B484" t="s">
        <v>127</v>
      </c>
      <c r="C484" t="s">
        <v>475</v>
      </c>
      <c r="D484" t="s">
        <v>24</v>
      </c>
      <c r="E484">
        <v>51</v>
      </c>
      <c r="F484" t="s">
        <v>2947</v>
      </c>
      <c r="G484" t="s">
        <v>1282</v>
      </c>
      <c r="H484" t="s">
        <v>1283</v>
      </c>
      <c r="I484" t="s">
        <v>271</v>
      </c>
      <c r="J484" t="s">
        <v>143</v>
      </c>
      <c r="K484" t="s">
        <v>71</v>
      </c>
      <c r="M484" s="2">
        <v>226319</v>
      </c>
      <c r="N484" s="2" t="s">
        <v>2948</v>
      </c>
      <c r="O484" t="s">
        <v>216</v>
      </c>
      <c r="P484" t="s">
        <v>152</v>
      </c>
      <c r="Q484" t="s">
        <v>158</v>
      </c>
      <c r="R484">
        <v>6.9</v>
      </c>
      <c r="S484" t="s">
        <v>2953</v>
      </c>
    </row>
    <row r="485" spans="1:19" x14ac:dyDescent="0.3">
      <c r="A485" t="s">
        <v>1296</v>
      </c>
      <c r="B485" t="s">
        <v>297</v>
      </c>
      <c r="C485" t="s">
        <v>277</v>
      </c>
      <c r="D485" t="s">
        <v>24</v>
      </c>
      <c r="E485">
        <v>44</v>
      </c>
      <c r="F485" t="s">
        <v>2946</v>
      </c>
      <c r="G485" t="s">
        <v>1285</v>
      </c>
      <c r="H485" t="s">
        <v>2369</v>
      </c>
      <c r="I485" t="s">
        <v>368</v>
      </c>
      <c r="J485" t="s">
        <v>20</v>
      </c>
      <c r="K485" t="s">
        <v>48</v>
      </c>
      <c r="L485" s="1">
        <v>42193</v>
      </c>
      <c r="M485" s="2">
        <v>792672</v>
      </c>
      <c r="N485" s="2" t="s">
        <v>2950</v>
      </c>
      <c r="O485" t="s">
        <v>253</v>
      </c>
      <c r="P485" t="s">
        <v>205</v>
      </c>
      <c r="Q485" t="s">
        <v>244</v>
      </c>
      <c r="R485">
        <v>10.9</v>
      </c>
      <c r="S485" t="s">
        <v>2951</v>
      </c>
    </row>
    <row r="486" spans="1:19" x14ac:dyDescent="0.3">
      <c r="A486" t="s">
        <v>1299</v>
      </c>
      <c r="B486" t="s">
        <v>377</v>
      </c>
      <c r="C486" t="s">
        <v>318</v>
      </c>
      <c r="D486" t="s">
        <v>24</v>
      </c>
      <c r="E486">
        <v>24</v>
      </c>
      <c r="F486" t="s">
        <v>2945</v>
      </c>
      <c r="G486" t="s">
        <v>1287</v>
      </c>
      <c r="H486" t="s">
        <v>1288</v>
      </c>
      <c r="I486" t="s">
        <v>394</v>
      </c>
      <c r="K486" t="s">
        <v>28</v>
      </c>
      <c r="L486" s="1">
        <v>42543</v>
      </c>
      <c r="M486" s="2">
        <v>710669</v>
      </c>
      <c r="N486" s="2" t="s">
        <v>2950</v>
      </c>
      <c r="O486" t="s">
        <v>130</v>
      </c>
      <c r="P486" t="s">
        <v>152</v>
      </c>
      <c r="Q486" t="s">
        <v>244</v>
      </c>
      <c r="R486">
        <v>9.9</v>
      </c>
      <c r="S486" t="s">
        <v>2951</v>
      </c>
    </row>
    <row r="487" spans="1:19" x14ac:dyDescent="0.3">
      <c r="A487" t="s">
        <v>1302</v>
      </c>
      <c r="B487" t="s">
        <v>555</v>
      </c>
      <c r="C487" t="s">
        <v>221</v>
      </c>
      <c r="D487" t="s">
        <v>45</v>
      </c>
      <c r="E487">
        <v>49</v>
      </c>
      <c r="F487" t="s">
        <v>2947</v>
      </c>
      <c r="G487" t="s">
        <v>1290</v>
      </c>
      <c r="H487" t="s">
        <v>1291</v>
      </c>
      <c r="I487" t="s">
        <v>485</v>
      </c>
      <c r="J487" t="s">
        <v>257</v>
      </c>
      <c r="K487" t="s">
        <v>71</v>
      </c>
      <c r="L487" s="1">
        <v>42917</v>
      </c>
      <c r="M487" s="2">
        <v>709965</v>
      </c>
      <c r="N487" s="2" t="s">
        <v>2950</v>
      </c>
      <c r="O487" t="s">
        <v>216</v>
      </c>
      <c r="P487" t="s">
        <v>152</v>
      </c>
      <c r="Q487" t="s">
        <v>244</v>
      </c>
      <c r="R487">
        <v>8.9</v>
      </c>
      <c r="S487" t="s">
        <v>2951</v>
      </c>
    </row>
    <row r="488" spans="1:19" x14ac:dyDescent="0.3">
      <c r="A488" t="s">
        <v>1304</v>
      </c>
      <c r="B488" t="s">
        <v>98</v>
      </c>
      <c r="C488" t="s">
        <v>408</v>
      </c>
      <c r="D488" t="s">
        <v>24</v>
      </c>
      <c r="E488">
        <v>42</v>
      </c>
      <c r="F488" t="s">
        <v>2946</v>
      </c>
      <c r="G488" t="s">
        <v>1293</v>
      </c>
      <c r="H488" t="s">
        <v>2704</v>
      </c>
      <c r="I488" t="s">
        <v>485</v>
      </c>
      <c r="J488" t="s">
        <v>185</v>
      </c>
      <c r="K488" t="s">
        <v>28</v>
      </c>
      <c r="L488" s="1">
        <v>43320</v>
      </c>
      <c r="M488" s="2">
        <v>661061</v>
      </c>
      <c r="N488" s="2" t="s">
        <v>2950</v>
      </c>
      <c r="O488" t="s">
        <v>111</v>
      </c>
      <c r="P488" t="s">
        <v>90</v>
      </c>
      <c r="Q488" t="s">
        <v>65</v>
      </c>
      <c r="R488">
        <v>7.8</v>
      </c>
      <c r="S488" t="s">
        <v>2953</v>
      </c>
    </row>
    <row r="489" spans="1:19" x14ac:dyDescent="0.3">
      <c r="A489" t="s">
        <v>1307</v>
      </c>
      <c r="B489" t="s">
        <v>412</v>
      </c>
      <c r="C489" t="s">
        <v>18</v>
      </c>
      <c r="D489" t="s">
        <v>24</v>
      </c>
      <c r="E489">
        <v>51</v>
      </c>
      <c r="F489" t="s">
        <v>2947</v>
      </c>
      <c r="G489" t="s">
        <v>905</v>
      </c>
      <c r="H489" t="s">
        <v>1295</v>
      </c>
      <c r="I489" t="s">
        <v>485</v>
      </c>
      <c r="J489" t="s">
        <v>676</v>
      </c>
      <c r="K489" t="s">
        <v>35</v>
      </c>
      <c r="L489" s="1">
        <v>44881</v>
      </c>
      <c r="M489" s="2">
        <v>678816</v>
      </c>
      <c r="N489" s="2" t="s">
        <v>2950</v>
      </c>
      <c r="O489" t="s">
        <v>216</v>
      </c>
      <c r="P489" t="s">
        <v>90</v>
      </c>
      <c r="Q489" t="s">
        <v>244</v>
      </c>
      <c r="R489">
        <v>3.5</v>
      </c>
      <c r="S489" t="s">
        <v>2952</v>
      </c>
    </row>
    <row r="490" spans="1:19" x14ac:dyDescent="0.3">
      <c r="A490" t="s">
        <v>1310</v>
      </c>
      <c r="B490" t="s">
        <v>37</v>
      </c>
      <c r="C490" t="s">
        <v>141</v>
      </c>
      <c r="D490" t="s">
        <v>24</v>
      </c>
      <c r="E490">
        <v>41</v>
      </c>
      <c r="F490" t="s">
        <v>2946</v>
      </c>
      <c r="G490" t="s">
        <v>1297</v>
      </c>
      <c r="H490" t="s">
        <v>1298</v>
      </c>
      <c r="I490" t="s">
        <v>271</v>
      </c>
      <c r="J490" t="s">
        <v>143</v>
      </c>
      <c r="K490" t="s">
        <v>71</v>
      </c>
      <c r="L490" s="1">
        <v>42505</v>
      </c>
      <c r="M490" s="2">
        <v>546794</v>
      </c>
      <c r="N490" s="2" t="s">
        <v>2950</v>
      </c>
      <c r="O490" t="s">
        <v>111</v>
      </c>
      <c r="P490" t="s">
        <v>353</v>
      </c>
      <c r="Q490" t="s">
        <v>244</v>
      </c>
      <c r="R490">
        <v>10</v>
      </c>
      <c r="S490" t="s">
        <v>2951</v>
      </c>
    </row>
    <row r="491" spans="1:19" x14ac:dyDescent="0.3">
      <c r="A491" t="s">
        <v>1312</v>
      </c>
      <c r="B491" t="s">
        <v>103</v>
      </c>
      <c r="C491" t="s">
        <v>104</v>
      </c>
      <c r="D491" t="s">
        <v>45</v>
      </c>
      <c r="E491">
        <v>57</v>
      </c>
      <c r="F491" t="s">
        <v>2947</v>
      </c>
      <c r="G491" t="s">
        <v>1300</v>
      </c>
      <c r="H491" t="s">
        <v>1301</v>
      </c>
      <c r="I491" t="s">
        <v>368</v>
      </c>
      <c r="J491" t="s">
        <v>215</v>
      </c>
      <c r="K491" t="s">
        <v>28</v>
      </c>
      <c r="L491" s="1">
        <v>44185</v>
      </c>
      <c r="M491" s="2">
        <v>704508</v>
      </c>
      <c r="N491" s="2" t="s">
        <v>2950</v>
      </c>
      <c r="O491" t="s">
        <v>216</v>
      </c>
      <c r="P491" t="s">
        <v>152</v>
      </c>
      <c r="Q491" t="s">
        <v>72</v>
      </c>
      <c r="R491">
        <v>5.4</v>
      </c>
      <c r="S491" t="s">
        <v>2953</v>
      </c>
    </row>
    <row r="492" spans="1:19" x14ac:dyDescent="0.3">
      <c r="A492" t="s">
        <v>1314</v>
      </c>
      <c r="B492" t="s">
        <v>233</v>
      </c>
      <c r="C492" t="s">
        <v>18</v>
      </c>
      <c r="D492" t="s">
        <v>24</v>
      </c>
      <c r="E492">
        <v>50</v>
      </c>
      <c r="F492" t="s">
        <v>2947</v>
      </c>
      <c r="G492" t="s">
        <v>1303</v>
      </c>
      <c r="H492" t="s">
        <v>2705</v>
      </c>
      <c r="I492" t="s">
        <v>209</v>
      </c>
      <c r="J492" t="s">
        <v>210</v>
      </c>
      <c r="K492" t="s">
        <v>35</v>
      </c>
      <c r="L492" s="1">
        <v>42592</v>
      </c>
      <c r="M492" s="2">
        <v>154928</v>
      </c>
      <c r="N492" s="2" t="s">
        <v>2949</v>
      </c>
      <c r="O492" t="s">
        <v>130</v>
      </c>
      <c r="P492" t="s">
        <v>90</v>
      </c>
      <c r="Q492" t="s">
        <v>158</v>
      </c>
      <c r="R492">
        <v>9.8000000000000007</v>
      </c>
      <c r="S492" t="s">
        <v>2951</v>
      </c>
    </row>
    <row r="493" spans="1:19" x14ac:dyDescent="0.3">
      <c r="A493" t="s">
        <v>1316</v>
      </c>
      <c r="B493" t="s">
        <v>154</v>
      </c>
      <c r="C493" t="s">
        <v>18</v>
      </c>
      <c r="D493" t="s">
        <v>24</v>
      </c>
      <c r="E493">
        <v>27</v>
      </c>
      <c r="F493" t="s">
        <v>2945</v>
      </c>
      <c r="G493" t="s">
        <v>1305</v>
      </c>
      <c r="H493" t="s">
        <v>1306</v>
      </c>
      <c r="I493" t="s">
        <v>271</v>
      </c>
      <c r="J493" t="s">
        <v>700</v>
      </c>
      <c r="K493" t="s">
        <v>48</v>
      </c>
      <c r="L493" s="1">
        <v>44018</v>
      </c>
      <c r="M493" s="2">
        <v>644941</v>
      </c>
      <c r="N493" s="2" t="s">
        <v>2950</v>
      </c>
      <c r="O493" t="s">
        <v>216</v>
      </c>
      <c r="P493" t="s">
        <v>152</v>
      </c>
      <c r="Q493" t="s">
        <v>65</v>
      </c>
      <c r="R493">
        <v>5.9</v>
      </c>
      <c r="S493" t="s">
        <v>2953</v>
      </c>
    </row>
    <row r="494" spans="1:19" x14ac:dyDescent="0.3">
      <c r="A494" t="s">
        <v>1318</v>
      </c>
      <c r="B494" t="s">
        <v>340</v>
      </c>
      <c r="C494" t="s">
        <v>68</v>
      </c>
      <c r="D494" t="s">
        <v>24</v>
      </c>
      <c r="E494">
        <v>41</v>
      </c>
      <c r="F494" t="s">
        <v>2946</v>
      </c>
      <c r="G494" t="s">
        <v>1308</v>
      </c>
      <c r="H494" t="s">
        <v>2369</v>
      </c>
      <c r="I494" t="s">
        <v>53</v>
      </c>
      <c r="J494" t="s">
        <v>1309</v>
      </c>
      <c r="K494" t="s">
        <v>28</v>
      </c>
      <c r="L494" s="1">
        <v>44354</v>
      </c>
      <c r="M494" s="2">
        <v>577350</v>
      </c>
      <c r="N494" s="2" t="s">
        <v>2950</v>
      </c>
      <c r="O494" t="s">
        <v>111</v>
      </c>
      <c r="P494" t="s">
        <v>90</v>
      </c>
      <c r="Q494" t="s">
        <v>79</v>
      </c>
      <c r="R494">
        <v>4.9000000000000004</v>
      </c>
      <c r="S494" t="s">
        <v>2952</v>
      </c>
    </row>
    <row r="495" spans="1:19" x14ac:dyDescent="0.3">
      <c r="A495" t="s">
        <v>1320</v>
      </c>
      <c r="B495" t="s">
        <v>81</v>
      </c>
      <c r="C495" t="s">
        <v>264</v>
      </c>
      <c r="D495" t="s">
        <v>24</v>
      </c>
      <c r="E495">
        <v>49</v>
      </c>
      <c r="F495" t="s">
        <v>2947</v>
      </c>
      <c r="G495" t="s">
        <v>1311</v>
      </c>
      <c r="H495" t="s">
        <v>2706</v>
      </c>
      <c r="I495" t="s">
        <v>368</v>
      </c>
      <c r="J495" t="s">
        <v>192</v>
      </c>
      <c r="K495" t="s">
        <v>35</v>
      </c>
      <c r="M495" s="2">
        <v>867769</v>
      </c>
      <c r="N495" s="2" t="s">
        <v>2950</v>
      </c>
      <c r="O495" t="s">
        <v>130</v>
      </c>
      <c r="P495" t="s">
        <v>90</v>
      </c>
      <c r="Q495" t="s">
        <v>244</v>
      </c>
      <c r="R495">
        <v>7.8</v>
      </c>
      <c r="S495" t="s">
        <v>2953</v>
      </c>
    </row>
    <row r="496" spans="1:19" x14ac:dyDescent="0.3">
      <c r="A496" t="s">
        <v>1323</v>
      </c>
      <c r="B496" t="s">
        <v>233</v>
      </c>
      <c r="C496" t="s">
        <v>327</v>
      </c>
      <c r="D496" t="s">
        <v>45</v>
      </c>
      <c r="E496">
        <v>48</v>
      </c>
      <c r="F496" t="s">
        <v>2947</v>
      </c>
      <c r="G496" t="s">
        <v>1313</v>
      </c>
      <c r="H496" t="s">
        <v>2369</v>
      </c>
      <c r="I496" t="s">
        <v>592</v>
      </c>
      <c r="J496" t="s">
        <v>550</v>
      </c>
      <c r="K496" t="s">
        <v>71</v>
      </c>
      <c r="L496" s="1">
        <v>43055</v>
      </c>
      <c r="M496" s="2">
        <v>152024</v>
      </c>
      <c r="N496" s="2" t="s">
        <v>2949</v>
      </c>
      <c r="O496" t="s">
        <v>111</v>
      </c>
      <c r="P496" t="s">
        <v>205</v>
      </c>
      <c r="Q496" t="s">
        <v>244</v>
      </c>
      <c r="R496">
        <v>8.5</v>
      </c>
      <c r="S496" t="s">
        <v>2951</v>
      </c>
    </row>
    <row r="497" spans="1:19" x14ac:dyDescent="0.3">
      <c r="A497" t="s">
        <v>1325</v>
      </c>
      <c r="B497" t="s">
        <v>187</v>
      </c>
      <c r="C497" t="s">
        <v>120</v>
      </c>
      <c r="D497" t="s">
        <v>45</v>
      </c>
      <c r="E497">
        <v>22</v>
      </c>
      <c r="F497" t="s">
        <v>2945</v>
      </c>
      <c r="G497" t="s">
        <v>1315</v>
      </c>
      <c r="H497" t="s">
        <v>2369</v>
      </c>
      <c r="I497" t="s">
        <v>517</v>
      </c>
      <c r="J497" t="s">
        <v>151</v>
      </c>
      <c r="K497" t="s">
        <v>28</v>
      </c>
      <c r="L497" s="1">
        <v>44852</v>
      </c>
      <c r="M497" s="2">
        <v>872903</v>
      </c>
      <c r="N497" s="2" t="s">
        <v>2950</v>
      </c>
      <c r="O497" t="s">
        <v>130</v>
      </c>
      <c r="P497" t="s">
        <v>205</v>
      </c>
      <c r="Q497" t="s">
        <v>158</v>
      </c>
      <c r="R497">
        <v>3.6</v>
      </c>
      <c r="S497" t="s">
        <v>2952</v>
      </c>
    </row>
    <row r="498" spans="1:19" x14ac:dyDescent="0.3">
      <c r="A498" t="s">
        <v>1328</v>
      </c>
      <c r="B498" t="s">
        <v>416</v>
      </c>
      <c r="C498" t="s">
        <v>50</v>
      </c>
      <c r="D498" t="s">
        <v>24</v>
      </c>
      <c r="E498">
        <v>35</v>
      </c>
      <c r="F498" t="s">
        <v>2946</v>
      </c>
      <c r="G498" t="s">
        <v>1317</v>
      </c>
      <c r="H498" t="s">
        <v>2369</v>
      </c>
      <c r="I498" t="s">
        <v>485</v>
      </c>
      <c r="J498" t="s">
        <v>27</v>
      </c>
      <c r="K498" t="s">
        <v>48</v>
      </c>
      <c r="L498" s="1">
        <v>45004</v>
      </c>
      <c r="M498" s="2">
        <v>325404</v>
      </c>
      <c r="N498" s="2" t="s">
        <v>2948</v>
      </c>
      <c r="O498" t="s">
        <v>111</v>
      </c>
      <c r="P498" t="s">
        <v>353</v>
      </c>
      <c r="Q498" t="s">
        <v>72</v>
      </c>
      <c r="R498">
        <v>3.2</v>
      </c>
      <c r="S498" t="s">
        <v>2952</v>
      </c>
    </row>
    <row r="499" spans="1:19" x14ac:dyDescent="0.3">
      <c r="A499" t="s">
        <v>1331</v>
      </c>
      <c r="B499" t="s">
        <v>310</v>
      </c>
      <c r="C499" t="s">
        <v>161</v>
      </c>
      <c r="D499" t="s">
        <v>45</v>
      </c>
      <c r="E499">
        <v>39</v>
      </c>
      <c r="F499" t="s">
        <v>2946</v>
      </c>
      <c r="G499" t="s">
        <v>1319</v>
      </c>
      <c r="H499" t="s">
        <v>2707</v>
      </c>
      <c r="I499" t="s">
        <v>394</v>
      </c>
      <c r="J499" t="s">
        <v>672</v>
      </c>
      <c r="K499" t="s">
        <v>35</v>
      </c>
      <c r="M499" s="2">
        <v>247311</v>
      </c>
      <c r="N499" s="2" t="s">
        <v>2948</v>
      </c>
      <c r="O499" t="s">
        <v>130</v>
      </c>
      <c r="P499" t="s">
        <v>21</v>
      </c>
      <c r="Q499" t="s">
        <v>65</v>
      </c>
      <c r="R499">
        <v>9</v>
      </c>
      <c r="S499" t="s">
        <v>2951</v>
      </c>
    </row>
    <row r="500" spans="1:19" x14ac:dyDescent="0.3">
      <c r="A500" t="s">
        <v>1334</v>
      </c>
      <c r="B500" t="s">
        <v>154</v>
      </c>
      <c r="C500" t="s">
        <v>23</v>
      </c>
      <c r="D500" t="s">
        <v>24</v>
      </c>
      <c r="E500">
        <v>55</v>
      </c>
      <c r="F500" t="s">
        <v>2947</v>
      </c>
      <c r="G500" t="s">
        <v>1321</v>
      </c>
      <c r="H500" t="s">
        <v>1322</v>
      </c>
      <c r="I500" t="s">
        <v>368</v>
      </c>
      <c r="J500" t="s">
        <v>20</v>
      </c>
      <c r="K500" t="s">
        <v>35</v>
      </c>
      <c r="L500" s="1">
        <v>43256</v>
      </c>
      <c r="N500" s="2" t="s">
        <v>2369</v>
      </c>
      <c r="O500" t="s">
        <v>111</v>
      </c>
      <c r="P500" t="s">
        <v>205</v>
      </c>
      <c r="Q500" t="s">
        <v>158</v>
      </c>
      <c r="R500">
        <v>7.9</v>
      </c>
      <c r="S500" t="s">
        <v>2953</v>
      </c>
    </row>
    <row r="501" spans="1:19" x14ac:dyDescent="0.3">
      <c r="A501" t="s">
        <v>2339</v>
      </c>
      <c r="B501" t="s">
        <v>81</v>
      </c>
      <c r="C501" t="s">
        <v>98</v>
      </c>
      <c r="D501" t="s">
        <v>45</v>
      </c>
      <c r="E501">
        <v>50</v>
      </c>
      <c r="F501" t="s">
        <v>2947</v>
      </c>
      <c r="G501" t="s">
        <v>2369</v>
      </c>
      <c r="H501" t="s">
        <v>1324</v>
      </c>
      <c r="I501" t="s">
        <v>271</v>
      </c>
      <c r="J501" t="s">
        <v>70</v>
      </c>
      <c r="K501" t="s">
        <v>48</v>
      </c>
      <c r="L501" s="1">
        <v>42146</v>
      </c>
      <c r="M501" s="2">
        <v>766134</v>
      </c>
      <c r="N501" s="2" t="s">
        <v>2950</v>
      </c>
      <c r="O501" t="s">
        <v>216</v>
      </c>
      <c r="P501" t="s">
        <v>205</v>
      </c>
      <c r="Q501" t="s">
        <v>79</v>
      </c>
      <c r="R501">
        <v>11</v>
      </c>
      <c r="S501" t="s">
        <v>2951</v>
      </c>
    </row>
    <row r="502" spans="1:19" x14ac:dyDescent="0.3">
      <c r="A502" t="s">
        <v>1337</v>
      </c>
      <c r="B502" t="s">
        <v>97</v>
      </c>
      <c r="C502" t="s">
        <v>75</v>
      </c>
      <c r="D502" t="s">
        <v>45</v>
      </c>
      <c r="F502" t="s">
        <v>2369</v>
      </c>
      <c r="G502" t="s">
        <v>1326</v>
      </c>
      <c r="H502" t="s">
        <v>1327</v>
      </c>
      <c r="I502" t="s">
        <v>485</v>
      </c>
      <c r="J502" t="s">
        <v>1165</v>
      </c>
      <c r="K502" t="s">
        <v>71</v>
      </c>
      <c r="L502" s="1">
        <v>44658</v>
      </c>
      <c r="M502" s="2">
        <v>496611</v>
      </c>
      <c r="N502" s="2" t="s">
        <v>2948</v>
      </c>
      <c r="O502" t="s">
        <v>216</v>
      </c>
      <c r="P502" t="s">
        <v>152</v>
      </c>
      <c r="Q502" t="s">
        <v>72</v>
      </c>
      <c r="R502">
        <v>4.0999999999999996</v>
      </c>
      <c r="S502" t="s">
        <v>2952</v>
      </c>
    </row>
    <row r="503" spans="1:19" x14ac:dyDescent="0.3">
      <c r="A503" t="s">
        <v>1340</v>
      </c>
      <c r="B503" t="s">
        <v>85</v>
      </c>
      <c r="C503" t="s">
        <v>82</v>
      </c>
      <c r="D503" t="s">
        <v>24</v>
      </c>
      <c r="E503">
        <v>27</v>
      </c>
      <c r="F503" t="s">
        <v>2945</v>
      </c>
      <c r="G503" t="s">
        <v>1329</v>
      </c>
      <c r="H503" t="s">
        <v>2369</v>
      </c>
      <c r="I503" t="s">
        <v>271</v>
      </c>
      <c r="J503" t="s">
        <v>1330</v>
      </c>
      <c r="K503" t="s">
        <v>35</v>
      </c>
      <c r="L503" s="1">
        <v>44204</v>
      </c>
      <c r="M503" s="2">
        <v>689686</v>
      </c>
      <c r="N503" s="2" t="s">
        <v>2950</v>
      </c>
      <c r="O503" t="s">
        <v>111</v>
      </c>
      <c r="P503" t="s">
        <v>152</v>
      </c>
      <c r="Q503" t="s">
        <v>158</v>
      </c>
      <c r="R503">
        <v>5.3</v>
      </c>
      <c r="S503" t="s">
        <v>2953</v>
      </c>
    </row>
    <row r="504" spans="1:19" x14ac:dyDescent="0.3">
      <c r="A504" t="s">
        <v>1343</v>
      </c>
      <c r="B504" t="s">
        <v>269</v>
      </c>
      <c r="C504" t="s">
        <v>213</v>
      </c>
      <c r="D504" t="s">
        <v>45</v>
      </c>
      <c r="E504">
        <v>55</v>
      </c>
      <c r="F504" t="s">
        <v>2947</v>
      </c>
      <c r="G504" t="s">
        <v>1332</v>
      </c>
      <c r="H504" t="s">
        <v>1333</v>
      </c>
      <c r="I504" t="s">
        <v>368</v>
      </c>
      <c r="J504" t="s">
        <v>47</v>
      </c>
      <c r="K504" t="s">
        <v>35</v>
      </c>
      <c r="L504" s="1">
        <v>44979</v>
      </c>
      <c r="M504" s="2">
        <v>881207</v>
      </c>
      <c r="N504" s="2" t="s">
        <v>2950</v>
      </c>
      <c r="O504" t="s">
        <v>111</v>
      </c>
      <c r="P504" t="s">
        <v>353</v>
      </c>
      <c r="Q504" t="s">
        <v>244</v>
      </c>
      <c r="R504">
        <v>3.2</v>
      </c>
      <c r="S504" t="s">
        <v>2952</v>
      </c>
    </row>
    <row r="505" spans="1:19" x14ac:dyDescent="0.3">
      <c r="A505" t="s">
        <v>1344</v>
      </c>
      <c r="B505" t="s">
        <v>233</v>
      </c>
      <c r="C505" t="s">
        <v>273</v>
      </c>
      <c r="D505" t="s">
        <v>45</v>
      </c>
      <c r="E505">
        <v>51</v>
      </c>
      <c r="F505" t="s">
        <v>2947</v>
      </c>
      <c r="G505" t="s">
        <v>1335</v>
      </c>
      <c r="H505" t="s">
        <v>2708</v>
      </c>
      <c r="I505" t="s">
        <v>235</v>
      </c>
      <c r="J505" t="s">
        <v>445</v>
      </c>
      <c r="K505" t="s">
        <v>35</v>
      </c>
      <c r="L505" s="1">
        <v>44930</v>
      </c>
      <c r="M505" s="2">
        <v>502897</v>
      </c>
      <c r="N505" s="2" t="s">
        <v>2950</v>
      </c>
      <c r="O505" t="s">
        <v>41</v>
      </c>
      <c r="P505" t="s">
        <v>152</v>
      </c>
      <c r="Q505" t="s">
        <v>79</v>
      </c>
      <c r="R505">
        <v>3.4</v>
      </c>
      <c r="S505" t="s">
        <v>2952</v>
      </c>
    </row>
    <row r="506" spans="1:19" x14ac:dyDescent="0.3">
      <c r="A506" t="s">
        <v>1347</v>
      </c>
      <c r="B506" t="s">
        <v>132</v>
      </c>
      <c r="C506" t="s">
        <v>408</v>
      </c>
      <c r="D506" t="s">
        <v>24</v>
      </c>
      <c r="E506">
        <v>24</v>
      </c>
      <c r="F506" t="s">
        <v>2945</v>
      </c>
      <c r="G506" t="s">
        <v>1336</v>
      </c>
      <c r="H506" t="s">
        <v>2709</v>
      </c>
      <c r="I506" t="s">
        <v>592</v>
      </c>
      <c r="J506" t="s">
        <v>550</v>
      </c>
      <c r="K506" t="s">
        <v>71</v>
      </c>
      <c r="L506" s="1">
        <v>43596</v>
      </c>
      <c r="N506" s="2" t="s">
        <v>2369</v>
      </c>
      <c r="O506" t="s">
        <v>130</v>
      </c>
      <c r="P506" t="s">
        <v>205</v>
      </c>
      <c r="Q506" t="s">
        <v>158</v>
      </c>
      <c r="R506">
        <v>7</v>
      </c>
      <c r="S506" t="s">
        <v>2953</v>
      </c>
    </row>
    <row r="507" spans="1:19" x14ac:dyDescent="0.3">
      <c r="A507" t="s">
        <v>2340</v>
      </c>
      <c r="B507" t="s">
        <v>212</v>
      </c>
      <c r="C507" t="s">
        <v>336</v>
      </c>
      <c r="D507" t="s">
        <v>24</v>
      </c>
      <c r="E507">
        <v>39</v>
      </c>
      <c r="F507" t="s">
        <v>2946</v>
      </c>
      <c r="G507" t="s">
        <v>1338</v>
      </c>
      <c r="H507" t="s">
        <v>1339</v>
      </c>
      <c r="I507" t="s">
        <v>209</v>
      </c>
      <c r="J507" t="s">
        <v>383</v>
      </c>
      <c r="K507" t="s">
        <v>35</v>
      </c>
      <c r="L507" s="1">
        <v>44507</v>
      </c>
      <c r="M507" s="2">
        <v>818253</v>
      </c>
      <c r="N507" s="2" t="s">
        <v>2950</v>
      </c>
      <c r="O507" t="s">
        <v>111</v>
      </c>
      <c r="P507" t="s">
        <v>90</v>
      </c>
      <c r="Q507" t="s">
        <v>72</v>
      </c>
      <c r="R507">
        <v>4.8</v>
      </c>
      <c r="S507" t="s">
        <v>2952</v>
      </c>
    </row>
    <row r="508" spans="1:19" x14ac:dyDescent="0.3">
      <c r="A508" t="s">
        <v>1351</v>
      </c>
      <c r="B508" t="s">
        <v>377</v>
      </c>
      <c r="C508" t="s">
        <v>516</v>
      </c>
      <c r="D508" t="s">
        <v>24</v>
      </c>
      <c r="E508">
        <v>32</v>
      </c>
      <c r="F508" t="s">
        <v>2946</v>
      </c>
      <c r="G508" t="s">
        <v>1341</v>
      </c>
      <c r="H508" t="s">
        <v>1342</v>
      </c>
      <c r="I508" t="s">
        <v>517</v>
      </c>
      <c r="J508" t="s">
        <v>433</v>
      </c>
      <c r="K508" t="s">
        <v>71</v>
      </c>
      <c r="M508" s="2">
        <v>171425</v>
      </c>
      <c r="N508" s="2" t="s">
        <v>2949</v>
      </c>
      <c r="O508" t="s">
        <v>41</v>
      </c>
      <c r="P508" t="s">
        <v>205</v>
      </c>
      <c r="Q508" t="s">
        <v>158</v>
      </c>
      <c r="R508">
        <v>8.1</v>
      </c>
      <c r="S508" t="s">
        <v>2951</v>
      </c>
    </row>
    <row r="509" spans="1:19" x14ac:dyDescent="0.3">
      <c r="A509" t="s">
        <v>1353</v>
      </c>
      <c r="B509" t="s">
        <v>17</v>
      </c>
      <c r="C509" t="s">
        <v>86</v>
      </c>
      <c r="D509" t="s">
        <v>24</v>
      </c>
      <c r="E509">
        <v>38</v>
      </c>
      <c r="F509" t="s">
        <v>2946</v>
      </c>
      <c r="G509" t="s">
        <v>2443</v>
      </c>
      <c r="H509" t="s">
        <v>2710</v>
      </c>
      <c r="I509" t="s">
        <v>271</v>
      </c>
      <c r="J509" t="s">
        <v>135</v>
      </c>
      <c r="K509" t="s">
        <v>71</v>
      </c>
      <c r="L509" s="1">
        <v>42517</v>
      </c>
      <c r="M509" s="2">
        <v>110791</v>
      </c>
      <c r="N509" s="2" t="s">
        <v>2949</v>
      </c>
      <c r="O509" t="s">
        <v>253</v>
      </c>
      <c r="P509" t="s">
        <v>90</v>
      </c>
      <c r="Q509" t="s">
        <v>65</v>
      </c>
      <c r="R509">
        <v>10</v>
      </c>
      <c r="S509" t="s">
        <v>2951</v>
      </c>
    </row>
    <row r="510" spans="1:19" x14ac:dyDescent="0.3">
      <c r="A510" t="s">
        <v>1355</v>
      </c>
      <c r="B510" t="s">
        <v>127</v>
      </c>
      <c r="C510" t="s">
        <v>62</v>
      </c>
      <c r="D510" t="s">
        <v>45</v>
      </c>
      <c r="E510">
        <v>47</v>
      </c>
      <c r="F510" t="s">
        <v>2947</v>
      </c>
      <c r="G510" t="s">
        <v>1345</v>
      </c>
      <c r="H510" t="s">
        <v>1346</v>
      </c>
      <c r="I510" t="s">
        <v>100</v>
      </c>
      <c r="J510" t="s">
        <v>1018</v>
      </c>
      <c r="K510" t="s">
        <v>28</v>
      </c>
      <c r="M510" s="2">
        <v>272175</v>
      </c>
      <c r="N510" s="2" t="s">
        <v>2948</v>
      </c>
      <c r="O510" t="s">
        <v>111</v>
      </c>
      <c r="P510" t="s">
        <v>152</v>
      </c>
      <c r="Q510" t="s">
        <v>158</v>
      </c>
      <c r="R510">
        <v>3.9</v>
      </c>
      <c r="S510" t="s">
        <v>2952</v>
      </c>
    </row>
    <row r="511" spans="1:19" x14ac:dyDescent="0.3">
      <c r="A511" t="s">
        <v>1357</v>
      </c>
      <c r="B511" t="s">
        <v>326</v>
      </c>
      <c r="C511" t="s">
        <v>93</v>
      </c>
      <c r="D511" t="s">
        <v>45</v>
      </c>
      <c r="E511">
        <v>46</v>
      </c>
      <c r="F511" t="s">
        <v>2947</v>
      </c>
      <c r="G511" t="s">
        <v>1348</v>
      </c>
      <c r="H511" t="s">
        <v>2369</v>
      </c>
      <c r="I511" t="s">
        <v>394</v>
      </c>
      <c r="J511" t="s">
        <v>727</v>
      </c>
      <c r="K511" t="s">
        <v>35</v>
      </c>
      <c r="L511" s="1">
        <v>44978</v>
      </c>
      <c r="M511" s="2">
        <v>519642</v>
      </c>
      <c r="N511" s="2" t="s">
        <v>2950</v>
      </c>
      <c r="O511" t="s">
        <v>130</v>
      </c>
      <c r="P511" t="s">
        <v>90</v>
      </c>
      <c r="Q511" t="s">
        <v>79</v>
      </c>
      <c r="R511">
        <v>3.2</v>
      </c>
      <c r="S511" t="s">
        <v>2952</v>
      </c>
    </row>
    <row r="512" spans="1:19" x14ac:dyDescent="0.3">
      <c r="A512" t="s">
        <v>1359</v>
      </c>
      <c r="B512" t="s">
        <v>37</v>
      </c>
      <c r="C512" t="s">
        <v>57</v>
      </c>
      <c r="D512" t="s">
        <v>24</v>
      </c>
      <c r="E512">
        <v>56</v>
      </c>
      <c r="F512" t="s">
        <v>2947</v>
      </c>
      <c r="G512" t="s">
        <v>1349</v>
      </c>
      <c r="H512" t="s">
        <v>1350</v>
      </c>
      <c r="I512" t="s">
        <v>53</v>
      </c>
      <c r="J512" t="s">
        <v>320</v>
      </c>
      <c r="K512" t="s">
        <v>48</v>
      </c>
      <c r="L512" s="1">
        <v>44408</v>
      </c>
      <c r="M512" s="2">
        <v>5201660</v>
      </c>
      <c r="N512" s="2" t="s">
        <v>2950</v>
      </c>
      <c r="O512" t="s">
        <v>216</v>
      </c>
      <c r="P512" t="s">
        <v>353</v>
      </c>
      <c r="Q512" t="s">
        <v>244</v>
      </c>
      <c r="R512">
        <v>4.8</v>
      </c>
      <c r="S512" t="s">
        <v>2952</v>
      </c>
    </row>
    <row r="513" spans="1:19" x14ac:dyDescent="0.3">
      <c r="A513" t="s">
        <v>2341</v>
      </c>
      <c r="B513" t="s">
        <v>119</v>
      </c>
      <c r="C513" t="s">
        <v>161</v>
      </c>
      <c r="D513" t="s">
        <v>45</v>
      </c>
      <c r="E513">
        <v>27</v>
      </c>
      <c r="F513" t="s">
        <v>2945</v>
      </c>
      <c r="G513" t="s">
        <v>1352</v>
      </c>
      <c r="H513" t="s">
        <v>2369</v>
      </c>
      <c r="I513" t="s">
        <v>209</v>
      </c>
      <c r="J513" t="s">
        <v>616</v>
      </c>
      <c r="K513" t="s">
        <v>35</v>
      </c>
      <c r="L513" s="1">
        <v>42207</v>
      </c>
      <c r="M513" s="2">
        <v>164076</v>
      </c>
      <c r="N513" s="2" t="s">
        <v>2949</v>
      </c>
      <c r="O513" t="s">
        <v>130</v>
      </c>
      <c r="P513" t="s">
        <v>152</v>
      </c>
      <c r="Q513" t="s">
        <v>72</v>
      </c>
      <c r="R513">
        <v>10.8</v>
      </c>
      <c r="S513" t="s">
        <v>2951</v>
      </c>
    </row>
    <row r="514" spans="1:19" x14ac:dyDescent="0.3">
      <c r="A514" t="s">
        <v>1362</v>
      </c>
      <c r="B514" t="s">
        <v>43</v>
      </c>
      <c r="C514" t="s">
        <v>93</v>
      </c>
      <c r="D514" t="s">
        <v>45</v>
      </c>
      <c r="E514">
        <v>32</v>
      </c>
      <c r="F514" t="s">
        <v>2946</v>
      </c>
      <c r="G514" t="s">
        <v>1354</v>
      </c>
      <c r="H514" t="s">
        <v>2711</v>
      </c>
      <c r="I514" t="s">
        <v>517</v>
      </c>
      <c r="J514" t="s">
        <v>790</v>
      </c>
      <c r="K514" t="s">
        <v>28</v>
      </c>
      <c r="L514" s="1">
        <v>43388</v>
      </c>
      <c r="M514" s="2">
        <v>635859</v>
      </c>
      <c r="N514" s="2" t="s">
        <v>2950</v>
      </c>
      <c r="O514" t="s">
        <v>253</v>
      </c>
      <c r="P514" t="s">
        <v>353</v>
      </c>
      <c r="Q514" t="s">
        <v>158</v>
      </c>
      <c r="R514">
        <v>7.6</v>
      </c>
      <c r="S514" t="s">
        <v>2953</v>
      </c>
    </row>
    <row r="515" spans="1:19" x14ac:dyDescent="0.3">
      <c r="A515" t="s">
        <v>1364</v>
      </c>
      <c r="B515" t="s">
        <v>340</v>
      </c>
      <c r="C515" t="s">
        <v>75</v>
      </c>
      <c r="D515" t="s">
        <v>24</v>
      </c>
      <c r="E515">
        <v>57</v>
      </c>
      <c r="F515" t="s">
        <v>2947</v>
      </c>
      <c r="G515" t="s">
        <v>1356</v>
      </c>
      <c r="H515" t="s">
        <v>2712</v>
      </c>
      <c r="I515" t="s">
        <v>394</v>
      </c>
      <c r="J515" t="s">
        <v>195</v>
      </c>
      <c r="K515" t="s">
        <v>35</v>
      </c>
      <c r="L515" s="1">
        <v>44764</v>
      </c>
      <c r="M515" s="2">
        <v>837905</v>
      </c>
      <c r="N515" s="2" t="s">
        <v>2950</v>
      </c>
      <c r="O515" t="s">
        <v>253</v>
      </c>
      <c r="P515" t="s">
        <v>21</v>
      </c>
      <c r="Q515" t="s">
        <v>72</v>
      </c>
      <c r="R515">
        <v>3.8</v>
      </c>
      <c r="S515" t="s">
        <v>2952</v>
      </c>
    </row>
    <row r="516" spans="1:19" x14ac:dyDescent="0.3">
      <c r="A516" t="s">
        <v>1366</v>
      </c>
      <c r="B516" t="s">
        <v>124</v>
      </c>
      <c r="C516" t="s">
        <v>327</v>
      </c>
      <c r="D516" t="s">
        <v>24</v>
      </c>
      <c r="E516">
        <v>41</v>
      </c>
      <c r="F516" t="s">
        <v>2946</v>
      </c>
      <c r="G516" t="s">
        <v>1358</v>
      </c>
      <c r="H516" t="s">
        <v>2713</v>
      </c>
      <c r="I516" t="s">
        <v>485</v>
      </c>
      <c r="J516" t="s">
        <v>179</v>
      </c>
      <c r="K516" t="s">
        <v>48</v>
      </c>
      <c r="L516" s="1">
        <v>42477</v>
      </c>
      <c r="M516" s="2">
        <v>506321</v>
      </c>
      <c r="N516" s="2" t="s">
        <v>2950</v>
      </c>
      <c r="O516" t="s">
        <v>198</v>
      </c>
      <c r="P516" t="s">
        <v>205</v>
      </c>
      <c r="Q516" t="s">
        <v>65</v>
      </c>
      <c r="R516">
        <v>10.1</v>
      </c>
      <c r="S516" t="s">
        <v>2951</v>
      </c>
    </row>
    <row r="517" spans="1:19" x14ac:dyDescent="0.3">
      <c r="A517" t="s">
        <v>1369</v>
      </c>
      <c r="B517" t="s">
        <v>119</v>
      </c>
      <c r="C517" t="s">
        <v>273</v>
      </c>
      <c r="D517" t="s">
        <v>24</v>
      </c>
      <c r="E517">
        <v>43</v>
      </c>
      <c r="F517" t="s">
        <v>2946</v>
      </c>
      <c r="G517" t="s">
        <v>2407</v>
      </c>
      <c r="H517" t="s">
        <v>1360</v>
      </c>
      <c r="I517" t="s">
        <v>394</v>
      </c>
      <c r="J517" t="s">
        <v>332</v>
      </c>
      <c r="K517" t="s">
        <v>35</v>
      </c>
      <c r="L517" s="1">
        <v>43008</v>
      </c>
      <c r="M517" s="2">
        <v>322313</v>
      </c>
      <c r="N517" s="2" t="s">
        <v>2948</v>
      </c>
      <c r="O517" t="s">
        <v>216</v>
      </c>
      <c r="P517" t="s">
        <v>205</v>
      </c>
      <c r="Q517" t="s">
        <v>65</v>
      </c>
      <c r="R517">
        <v>8.6</v>
      </c>
      <c r="S517" t="s">
        <v>2951</v>
      </c>
    </row>
    <row r="518" spans="1:19" x14ac:dyDescent="0.3">
      <c r="A518" t="s">
        <v>1372</v>
      </c>
      <c r="B518" t="s">
        <v>17</v>
      </c>
      <c r="C518" t="s">
        <v>213</v>
      </c>
      <c r="D518" t="s">
        <v>24</v>
      </c>
      <c r="E518">
        <v>46</v>
      </c>
      <c r="F518" t="s">
        <v>2947</v>
      </c>
      <c r="G518" t="s">
        <v>1361</v>
      </c>
      <c r="H518" t="s">
        <v>2714</v>
      </c>
      <c r="I518" t="s">
        <v>209</v>
      </c>
      <c r="J518" t="s">
        <v>210</v>
      </c>
      <c r="K518" t="s">
        <v>71</v>
      </c>
      <c r="L518" s="1">
        <v>42935</v>
      </c>
      <c r="M518" s="2">
        <v>850023</v>
      </c>
      <c r="N518" s="2" t="s">
        <v>2950</v>
      </c>
      <c r="O518" t="s">
        <v>130</v>
      </c>
      <c r="P518" t="s">
        <v>152</v>
      </c>
      <c r="Q518" t="s">
        <v>65</v>
      </c>
      <c r="R518">
        <v>8.8000000000000007</v>
      </c>
      <c r="S518" t="s">
        <v>2951</v>
      </c>
    </row>
    <row r="519" spans="1:19" x14ac:dyDescent="0.3">
      <c r="A519" t="s">
        <v>1375</v>
      </c>
      <c r="B519" t="s">
        <v>127</v>
      </c>
      <c r="C519" t="s">
        <v>98</v>
      </c>
      <c r="D519" t="s">
        <v>24</v>
      </c>
      <c r="E519">
        <v>33</v>
      </c>
      <c r="F519" t="s">
        <v>2946</v>
      </c>
      <c r="G519" t="s">
        <v>1363</v>
      </c>
      <c r="H519" t="s">
        <v>2369</v>
      </c>
      <c r="I519" t="s">
        <v>100</v>
      </c>
      <c r="J519" t="s">
        <v>421</v>
      </c>
      <c r="K519" t="s">
        <v>35</v>
      </c>
      <c r="L519" s="1">
        <v>42668</v>
      </c>
      <c r="M519" s="2">
        <v>669952</v>
      </c>
      <c r="N519" s="2" t="s">
        <v>2950</v>
      </c>
      <c r="O519" t="s">
        <v>216</v>
      </c>
      <c r="P519" t="s">
        <v>90</v>
      </c>
      <c r="Q519" t="s">
        <v>244</v>
      </c>
      <c r="R519">
        <v>9.6</v>
      </c>
      <c r="S519" t="s">
        <v>2951</v>
      </c>
    </row>
    <row r="520" spans="1:19" x14ac:dyDescent="0.3">
      <c r="A520" t="s">
        <v>1377</v>
      </c>
      <c r="B520" t="s">
        <v>61</v>
      </c>
      <c r="C520" t="s">
        <v>200</v>
      </c>
      <c r="D520" t="s">
        <v>24</v>
      </c>
      <c r="E520">
        <v>36</v>
      </c>
      <c r="F520" t="s">
        <v>2946</v>
      </c>
      <c r="G520" t="s">
        <v>1365</v>
      </c>
      <c r="H520" t="s">
        <v>2715</v>
      </c>
      <c r="I520" t="s">
        <v>368</v>
      </c>
      <c r="J520" t="s">
        <v>192</v>
      </c>
      <c r="K520" t="s">
        <v>35</v>
      </c>
      <c r="L520" s="1">
        <v>44148</v>
      </c>
      <c r="M520" s="2">
        <v>492493</v>
      </c>
      <c r="N520" s="2" t="s">
        <v>2948</v>
      </c>
      <c r="O520" t="s">
        <v>130</v>
      </c>
      <c r="P520" t="s">
        <v>21</v>
      </c>
      <c r="Q520" t="s">
        <v>244</v>
      </c>
      <c r="R520">
        <v>5.5</v>
      </c>
      <c r="S520" t="s">
        <v>2953</v>
      </c>
    </row>
    <row r="521" spans="1:19" x14ac:dyDescent="0.3">
      <c r="A521" t="s">
        <v>1378</v>
      </c>
      <c r="B521" t="s">
        <v>233</v>
      </c>
      <c r="C521" t="s">
        <v>149</v>
      </c>
      <c r="D521" t="s">
        <v>45</v>
      </c>
      <c r="E521">
        <v>47</v>
      </c>
      <c r="F521" t="s">
        <v>2947</v>
      </c>
      <c r="G521" t="s">
        <v>1367</v>
      </c>
      <c r="H521" t="s">
        <v>1368</v>
      </c>
      <c r="I521" t="s">
        <v>100</v>
      </c>
      <c r="J521" t="s">
        <v>603</v>
      </c>
      <c r="K521" t="s">
        <v>71</v>
      </c>
      <c r="L521" s="1">
        <v>43958</v>
      </c>
      <c r="M521" s="2">
        <v>300261</v>
      </c>
      <c r="N521" s="2" t="s">
        <v>2948</v>
      </c>
      <c r="O521" t="s">
        <v>130</v>
      </c>
      <c r="P521" t="s">
        <v>21</v>
      </c>
      <c r="Q521" t="s">
        <v>244</v>
      </c>
      <c r="R521">
        <v>6</v>
      </c>
      <c r="S521" t="s">
        <v>2953</v>
      </c>
    </row>
    <row r="522" spans="1:19" x14ac:dyDescent="0.3">
      <c r="A522" t="s">
        <v>1380</v>
      </c>
      <c r="B522" t="s">
        <v>103</v>
      </c>
      <c r="C522" t="s">
        <v>75</v>
      </c>
      <c r="D522" t="s">
        <v>24</v>
      </c>
      <c r="E522">
        <v>48</v>
      </c>
      <c r="F522" t="s">
        <v>2947</v>
      </c>
      <c r="G522" t="s">
        <v>1370</v>
      </c>
      <c r="H522" t="s">
        <v>1371</v>
      </c>
      <c r="I522" t="s">
        <v>100</v>
      </c>
      <c r="J522" t="s">
        <v>473</v>
      </c>
      <c r="K522" t="s">
        <v>48</v>
      </c>
      <c r="L522" s="1">
        <v>42743</v>
      </c>
      <c r="M522" s="2">
        <v>863157</v>
      </c>
      <c r="N522" s="2" t="s">
        <v>2950</v>
      </c>
      <c r="O522" t="s">
        <v>253</v>
      </c>
      <c r="P522" t="s">
        <v>21</v>
      </c>
      <c r="Q522" t="s">
        <v>65</v>
      </c>
      <c r="R522">
        <v>9.3000000000000007</v>
      </c>
      <c r="S522" t="s">
        <v>2951</v>
      </c>
    </row>
    <row r="523" spans="1:19" x14ac:dyDescent="0.3">
      <c r="A523" t="s">
        <v>1382</v>
      </c>
      <c r="B523" t="s">
        <v>347</v>
      </c>
      <c r="C523" t="s">
        <v>50</v>
      </c>
      <c r="D523" t="s">
        <v>45</v>
      </c>
      <c r="E523">
        <v>37</v>
      </c>
      <c r="F523" t="s">
        <v>2946</v>
      </c>
      <c r="G523" t="s">
        <v>1373</v>
      </c>
      <c r="H523" t="s">
        <v>1374</v>
      </c>
      <c r="I523" t="s">
        <v>100</v>
      </c>
      <c r="J523" t="s">
        <v>101</v>
      </c>
      <c r="K523" t="s">
        <v>48</v>
      </c>
      <c r="M523" s="2">
        <v>534275</v>
      </c>
      <c r="N523" s="2" t="s">
        <v>2950</v>
      </c>
      <c r="O523" t="s">
        <v>41</v>
      </c>
      <c r="P523" t="s">
        <v>353</v>
      </c>
      <c r="Q523" t="s">
        <v>244</v>
      </c>
      <c r="R523">
        <v>6.4</v>
      </c>
      <c r="S523" t="s">
        <v>2953</v>
      </c>
    </row>
    <row r="524" spans="1:19" x14ac:dyDescent="0.3">
      <c r="A524" t="s">
        <v>1384</v>
      </c>
      <c r="B524" t="s">
        <v>286</v>
      </c>
      <c r="C524" t="s">
        <v>249</v>
      </c>
      <c r="D524" t="s">
        <v>24</v>
      </c>
      <c r="E524">
        <v>57</v>
      </c>
      <c r="F524" t="s">
        <v>2947</v>
      </c>
      <c r="G524" t="s">
        <v>1376</v>
      </c>
      <c r="H524" t="s">
        <v>2369</v>
      </c>
      <c r="I524" t="s">
        <v>485</v>
      </c>
      <c r="J524" t="s">
        <v>486</v>
      </c>
      <c r="K524" t="s">
        <v>71</v>
      </c>
      <c r="L524" s="1">
        <v>43863</v>
      </c>
      <c r="M524" s="2">
        <v>254277</v>
      </c>
      <c r="N524" s="2" t="s">
        <v>2948</v>
      </c>
      <c r="O524" t="s">
        <v>41</v>
      </c>
      <c r="P524" t="s">
        <v>205</v>
      </c>
      <c r="Q524" t="s">
        <v>158</v>
      </c>
      <c r="R524">
        <v>6.3</v>
      </c>
      <c r="S524" t="s">
        <v>2953</v>
      </c>
    </row>
    <row r="525" spans="1:19" x14ac:dyDescent="0.3">
      <c r="A525" t="s">
        <v>1386</v>
      </c>
      <c r="B525" t="s">
        <v>154</v>
      </c>
      <c r="C525" t="s">
        <v>82</v>
      </c>
      <c r="D525" t="s">
        <v>45</v>
      </c>
      <c r="E525">
        <v>34</v>
      </c>
      <c r="F525" t="s">
        <v>2946</v>
      </c>
      <c r="G525" t="s">
        <v>2444</v>
      </c>
      <c r="H525" t="s">
        <v>2369</v>
      </c>
      <c r="I525" t="s">
        <v>368</v>
      </c>
      <c r="J525" t="s">
        <v>267</v>
      </c>
      <c r="K525" t="s">
        <v>71</v>
      </c>
      <c r="L525" s="1">
        <v>42470</v>
      </c>
      <c r="M525" s="2">
        <v>445424</v>
      </c>
      <c r="N525" s="2" t="s">
        <v>2948</v>
      </c>
      <c r="O525" t="s">
        <v>111</v>
      </c>
      <c r="P525" t="s">
        <v>90</v>
      </c>
      <c r="Q525" t="s">
        <v>65</v>
      </c>
      <c r="R525">
        <v>9.6</v>
      </c>
      <c r="S525" t="s">
        <v>2951</v>
      </c>
    </row>
    <row r="526" spans="1:19" x14ac:dyDescent="0.3">
      <c r="A526" t="s">
        <v>1388</v>
      </c>
      <c r="B526" t="s">
        <v>154</v>
      </c>
      <c r="C526" t="s">
        <v>104</v>
      </c>
      <c r="D526" t="s">
        <v>24</v>
      </c>
      <c r="E526">
        <v>36</v>
      </c>
      <c r="F526" t="s">
        <v>2946</v>
      </c>
      <c r="G526" t="s">
        <v>1379</v>
      </c>
      <c r="H526" t="s">
        <v>2716</v>
      </c>
      <c r="I526" t="s">
        <v>485</v>
      </c>
      <c r="J526" t="s">
        <v>179</v>
      </c>
      <c r="K526" t="s">
        <v>28</v>
      </c>
      <c r="L526" s="1">
        <v>44210</v>
      </c>
      <c r="M526" s="2">
        <v>756446</v>
      </c>
      <c r="N526" s="2" t="s">
        <v>2950</v>
      </c>
      <c r="O526" t="s">
        <v>130</v>
      </c>
      <c r="P526" t="s">
        <v>205</v>
      </c>
      <c r="Q526" t="s">
        <v>72</v>
      </c>
      <c r="R526">
        <v>5.3</v>
      </c>
      <c r="S526" t="s">
        <v>2953</v>
      </c>
    </row>
    <row r="527" spans="1:19" x14ac:dyDescent="0.3">
      <c r="A527" t="s">
        <v>1390</v>
      </c>
      <c r="B527" t="s">
        <v>44</v>
      </c>
      <c r="C527" t="s">
        <v>50</v>
      </c>
      <c r="D527" t="s">
        <v>45</v>
      </c>
      <c r="E527">
        <v>36</v>
      </c>
      <c r="F527" t="s">
        <v>2946</v>
      </c>
      <c r="G527" t="s">
        <v>1381</v>
      </c>
      <c r="H527" t="s">
        <v>2717</v>
      </c>
      <c r="I527" t="s">
        <v>271</v>
      </c>
      <c r="J527" t="s">
        <v>135</v>
      </c>
      <c r="K527" t="s">
        <v>71</v>
      </c>
      <c r="L527" s="1">
        <v>43977</v>
      </c>
      <c r="M527" s="2">
        <v>470465</v>
      </c>
      <c r="N527" s="2" t="s">
        <v>2948</v>
      </c>
      <c r="O527" t="s">
        <v>130</v>
      </c>
      <c r="P527" t="s">
        <v>21</v>
      </c>
      <c r="Q527" t="s">
        <v>158</v>
      </c>
      <c r="R527">
        <v>6</v>
      </c>
      <c r="S527" t="s">
        <v>2953</v>
      </c>
    </row>
    <row r="528" spans="1:19" x14ac:dyDescent="0.3">
      <c r="A528" t="s">
        <v>1391</v>
      </c>
      <c r="B528" t="s">
        <v>207</v>
      </c>
      <c r="C528" t="s">
        <v>155</v>
      </c>
      <c r="D528" t="s">
        <v>24</v>
      </c>
      <c r="E528">
        <v>25</v>
      </c>
      <c r="F528" t="s">
        <v>2945</v>
      </c>
      <c r="G528" t="s">
        <v>1383</v>
      </c>
      <c r="H528" t="s">
        <v>2369</v>
      </c>
      <c r="I528" t="s">
        <v>271</v>
      </c>
      <c r="J528" t="s">
        <v>806</v>
      </c>
      <c r="K528" t="s">
        <v>35</v>
      </c>
      <c r="M528" s="2">
        <v>778551</v>
      </c>
      <c r="N528" s="2" t="s">
        <v>2950</v>
      </c>
      <c r="O528" t="s">
        <v>111</v>
      </c>
      <c r="P528" t="s">
        <v>205</v>
      </c>
      <c r="Q528" t="s">
        <v>79</v>
      </c>
      <c r="R528">
        <v>8.6999999999999993</v>
      </c>
      <c r="S528" t="s">
        <v>2951</v>
      </c>
    </row>
    <row r="529" spans="1:19" x14ac:dyDescent="0.3">
      <c r="A529" t="s">
        <v>1393</v>
      </c>
      <c r="B529" t="s">
        <v>119</v>
      </c>
      <c r="C529" t="s">
        <v>86</v>
      </c>
      <c r="D529" t="s">
        <v>24</v>
      </c>
      <c r="E529">
        <v>32</v>
      </c>
      <c r="F529" t="s">
        <v>2946</v>
      </c>
      <c r="G529" t="s">
        <v>1385</v>
      </c>
      <c r="H529" t="s">
        <v>2718</v>
      </c>
      <c r="I529" t="s">
        <v>485</v>
      </c>
      <c r="J529" t="s">
        <v>262</v>
      </c>
      <c r="K529" t="s">
        <v>71</v>
      </c>
      <c r="L529" s="1">
        <v>44298</v>
      </c>
      <c r="M529" s="2">
        <v>139936</v>
      </c>
      <c r="N529" s="2" t="s">
        <v>2949</v>
      </c>
      <c r="O529" t="s">
        <v>253</v>
      </c>
      <c r="P529" t="s">
        <v>205</v>
      </c>
      <c r="Q529" t="s">
        <v>244</v>
      </c>
      <c r="R529">
        <v>4.4000000000000004</v>
      </c>
      <c r="S529" t="s">
        <v>2952</v>
      </c>
    </row>
    <row r="530" spans="1:19" x14ac:dyDescent="0.3">
      <c r="A530" t="s">
        <v>1395</v>
      </c>
      <c r="B530" t="s">
        <v>98</v>
      </c>
      <c r="C530" t="s">
        <v>277</v>
      </c>
      <c r="D530" t="s">
        <v>24</v>
      </c>
      <c r="E530">
        <v>47</v>
      </c>
      <c r="F530" t="s">
        <v>2947</v>
      </c>
      <c r="G530" t="s">
        <v>1387</v>
      </c>
      <c r="H530" t="s">
        <v>2719</v>
      </c>
      <c r="I530" t="s">
        <v>271</v>
      </c>
      <c r="J530" t="s">
        <v>129</v>
      </c>
      <c r="K530" t="s">
        <v>28</v>
      </c>
      <c r="L530" s="1">
        <v>45110</v>
      </c>
      <c r="M530" s="2">
        <v>775927</v>
      </c>
      <c r="N530" s="2" t="s">
        <v>2950</v>
      </c>
      <c r="O530" t="s">
        <v>130</v>
      </c>
      <c r="P530" t="s">
        <v>205</v>
      </c>
      <c r="Q530" t="s">
        <v>72</v>
      </c>
      <c r="R530">
        <v>3.2</v>
      </c>
      <c r="S530" t="s">
        <v>2952</v>
      </c>
    </row>
    <row r="531" spans="1:19" x14ac:dyDescent="0.3">
      <c r="A531" t="s">
        <v>1398</v>
      </c>
      <c r="B531" t="s">
        <v>30</v>
      </c>
      <c r="C531" t="s">
        <v>213</v>
      </c>
      <c r="D531" t="s">
        <v>45</v>
      </c>
      <c r="E531">
        <v>27</v>
      </c>
      <c r="F531" t="s">
        <v>2945</v>
      </c>
      <c r="G531" t="s">
        <v>1389</v>
      </c>
      <c r="H531" t="s">
        <v>2720</v>
      </c>
      <c r="I531" t="s">
        <v>368</v>
      </c>
      <c r="J531" t="s">
        <v>47</v>
      </c>
      <c r="K531" t="s">
        <v>28</v>
      </c>
      <c r="L531" s="1">
        <v>42311</v>
      </c>
      <c r="N531" s="2" t="s">
        <v>2369</v>
      </c>
      <c r="O531" t="s">
        <v>253</v>
      </c>
      <c r="P531" t="s">
        <v>205</v>
      </c>
      <c r="Q531" t="s">
        <v>79</v>
      </c>
      <c r="R531">
        <v>10.5</v>
      </c>
      <c r="S531" t="s">
        <v>2951</v>
      </c>
    </row>
    <row r="532" spans="1:19" x14ac:dyDescent="0.3">
      <c r="A532" t="s">
        <v>1400</v>
      </c>
      <c r="B532" t="s">
        <v>377</v>
      </c>
      <c r="C532" t="s">
        <v>98</v>
      </c>
      <c r="D532" t="s">
        <v>24</v>
      </c>
      <c r="E532">
        <v>50</v>
      </c>
      <c r="F532" t="s">
        <v>2947</v>
      </c>
      <c r="G532" t="s">
        <v>2381</v>
      </c>
      <c r="H532" t="s">
        <v>2721</v>
      </c>
      <c r="I532" t="s">
        <v>100</v>
      </c>
      <c r="J532" t="s">
        <v>101</v>
      </c>
      <c r="K532" t="s">
        <v>28</v>
      </c>
      <c r="L532" s="1">
        <v>43740</v>
      </c>
      <c r="M532" s="2">
        <v>174509</v>
      </c>
      <c r="N532" s="2" t="s">
        <v>2949</v>
      </c>
      <c r="O532" t="s">
        <v>216</v>
      </c>
      <c r="P532" t="s">
        <v>21</v>
      </c>
      <c r="Q532" t="s">
        <v>79</v>
      </c>
      <c r="R532">
        <v>6.6</v>
      </c>
      <c r="S532" t="s">
        <v>2953</v>
      </c>
    </row>
    <row r="533" spans="1:19" x14ac:dyDescent="0.3">
      <c r="A533" t="s">
        <v>1402</v>
      </c>
      <c r="B533" t="s">
        <v>81</v>
      </c>
      <c r="C533" t="s">
        <v>213</v>
      </c>
      <c r="D533" t="s">
        <v>45</v>
      </c>
      <c r="E533">
        <v>42</v>
      </c>
      <c r="F533" t="s">
        <v>2946</v>
      </c>
      <c r="G533" t="s">
        <v>1392</v>
      </c>
      <c r="H533" t="s">
        <v>2722</v>
      </c>
      <c r="I533" t="s">
        <v>394</v>
      </c>
      <c r="J533" t="s">
        <v>519</v>
      </c>
      <c r="K533" t="s">
        <v>28</v>
      </c>
      <c r="L533" s="1">
        <v>42348</v>
      </c>
      <c r="M533" s="2">
        <v>576376</v>
      </c>
      <c r="N533" s="2" t="s">
        <v>2950</v>
      </c>
      <c r="O533" t="s">
        <v>41</v>
      </c>
      <c r="P533" t="s">
        <v>353</v>
      </c>
      <c r="Q533" t="s">
        <v>158</v>
      </c>
      <c r="R533">
        <v>10.6</v>
      </c>
      <c r="S533" t="s">
        <v>2951</v>
      </c>
    </row>
    <row r="534" spans="1:19" x14ac:dyDescent="0.3">
      <c r="A534" t="s">
        <v>1404</v>
      </c>
      <c r="B534" t="s">
        <v>281</v>
      </c>
      <c r="C534" t="s">
        <v>408</v>
      </c>
      <c r="D534" t="s">
        <v>24</v>
      </c>
      <c r="E534">
        <v>33</v>
      </c>
      <c r="F534" t="s">
        <v>2946</v>
      </c>
      <c r="G534" t="s">
        <v>1394</v>
      </c>
      <c r="H534" t="s">
        <v>2723</v>
      </c>
      <c r="I534" t="s">
        <v>209</v>
      </c>
      <c r="J534" t="s">
        <v>383</v>
      </c>
      <c r="K534" t="s">
        <v>48</v>
      </c>
      <c r="M534" s="2">
        <v>570325</v>
      </c>
      <c r="N534" s="2" t="s">
        <v>2950</v>
      </c>
      <c r="O534" t="s">
        <v>41</v>
      </c>
      <c r="P534" t="s">
        <v>90</v>
      </c>
      <c r="Q534" t="s">
        <v>72</v>
      </c>
      <c r="R534">
        <v>3.7</v>
      </c>
      <c r="S534" t="s">
        <v>2952</v>
      </c>
    </row>
    <row r="535" spans="1:19" x14ac:dyDescent="0.3">
      <c r="A535" t="s">
        <v>1406</v>
      </c>
      <c r="B535" t="s">
        <v>233</v>
      </c>
      <c r="C535" t="s">
        <v>149</v>
      </c>
      <c r="D535" t="s">
        <v>24</v>
      </c>
      <c r="E535">
        <v>46</v>
      </c>
      <c r="F535" t="s">
        <v>2947</v>
      </c>
      <c r="G535" t="s">
        <v>1396</v>
      </c>
      <c r="H535" t="s">
        <v>1397</v>
      </c>
      <c r="I535" t="s">
        <v>394</v>
      </c>
      <c r="J535" t="s">
        <v>231</v>
      </c>
      <c r="K535" t="s">
        <v>35</v>
      </c>
      <c r="L535" s="1">
        <v>42214</v>
      </c>
      <c r="M535" s="2">
        <v>495424</v>
      </c>
      <c r="N535" s="2" t="s">
        <v>2948</v>
      </c>
      <c r="O535" t="s">
        <v>216</v>
      </c>
      <c r="P535" t="s">
        <v>205</v>
      </c>
      <c r="Q535" t="s">
        <v>158</v>
      </c>
      <c r="R535">
        <v>10.8</v>
      </c>
      <c r="S535" t="s">
        <v>2951</v>
      </c>
    </row>
    <row r="536" spans="1:19" x14ac:dyDescent="0.3">
      <c r="A536" t="s">
        <v>1408</v>
      </c>
      <c r="B536" t="s">
        <v>190</v>
      </c>
      <c r="C536" t="s">
        <v>362</v>
      </c>
      <c r="D536" t="s">
        <v>45</v>
      </c>
      <c r="E536">
        <v>43</v>
      </c>
      <c r="F536" t="s">
        <v>2946</v>
      </c>
      <c r="G536" t="s">
        <v>1399</v>
      </c>
      <c r="H536" t="s">
        <v>2724</v>
      </c>
      <c r="I536" t="s">
        <v>235</v>
      </c>
      <c r="J536" t="s">
        <v>1223</v>
      </c>
      <c r="K536" t="s">
        <v>71</v>
      </c>
      <c r="L536" s="1">
        <v>43759</v>
      </c>
      <c r="M536" s="2">
        <v>114882</v>
      </c>
      <c r="N536" s="2" t="s">
        <v>2949</v>
      </c>
      <c r="O536" t="s">
        <v>253</v>
      </c>
      <c r="P536" t="s">
        <v>90</v>
      </c>
      <c r="Q536" t="s">
        <v>244</v>
      </c>
      <c r="R536">
        <v>6.6</v>
      </c>
      <c r="S536" t="s">
        <v>2953</v>
      </c>
    </row>
    <row r="537" spans="1:19" x14ac:dyDescent="0.3">
      <c r="A537" t="s">
        <v>1410</v>
      </c>
      <c r="B537" t="s">
        <v>187</v>
      </c>
      <c r="C537" t="s">
        <v>273</v>
      </c>
      <c r="D537" t="s">
        <v>45</v>
      </c>
      <c r="E537">
        <v>35</v>
      </c>
      <c r="F537" t="s">
        <v>2946</v>
      </c>
      <c r="G537" t="s">
        <v>1401</v>
      </c>
      <c r="H537" t="s">
        <v>2725</v>
      </c>
      <c r="I537" t="s">
        <v>517</v>
      </c>
      <c r="J537" t="s">
        <v>790</v>
      </c>
      <c r="K537" t="s">
        <v>28</v>
      </c>
      <c r="L537" s="1">
        <v>44350</v>
      </c>
      <c r="M537" s="2">
        <v>514854</v>
      </c>
      <c r="N537" s="2" t="s">
        <v>2950</v>
      </c>
      <c r="O537" t="s">
        <v>198</v>
      </c>
      <c r="P537" t="s">
        <v>205</v>
      </c>
      <c r="Q537" t="s">
        <v>158</v>
      </c>
      <c r="R537">
        <v>4.9000000000000004</v>
      </c>
      <c r="S537" t="s">
        <v>2952</v>
      </c>
    </row>
    <row r="538" spans="1:19" x14ac:dyDescent="0.3">
      <c r="A538" t="s">
        <v>1413</v>
      </c>
      <c r="B538" t="s">
        <v>103</v>
      </c>
      <c r="C538" t="s">
        <v>161</v>
      </c>
      <c r="D538" t="s">
        <v>24</v>
      </c>
      <c r="E538">
        <v>27</v>
      </c>
      <c r="F538" t="s">
        <v>2945</v>
      </c>
      <c r="G538" t="s">
        <v>1403</v>
      </c>
      <c r="H538" t="s">
        <v>2369</v>
      </c>
      <c r="I538" t="s">
        <v>100</v>
      </c>
      <c r="J538" t="s">
        <v>647</v>
      </c>
      <c r="K538" t="s">
        <v>71</v>
      </c>
      <c r="L538" s="1">
        <v>44089</v>
      </c>
      <c r="M538" s="2">
        <v>725618</v>
      </c>
      <c r="N538" s="2" t="s">
        <v>2950</v>
      </c>
      <c r="O538" t="s">
        <v>41</v>
      </c>
      <c r="P538" t="s">
        <v>90</v>
      </c>
      <c r="Q538" t="s">
        <v>65</v>
      </c>
      <c r="R538">
        <v>5.7</v>
      </c>
      <c r="S538" t="s">
        <v>2953</v>
      </c>
    </row>
    <row r="539" spans="1:19" x14ac:dyDescent="0.3">
      <c r="A539" t="s">
        <v>1416</v>
      </c>
      <c r="B539" t="s">
        <v>212</v>
      </c>
      <c r="C539" t="s">
        <v>23</v>
      </c>
      <c r="D539" t="s">
        <v>24</v>
      </c>
      <c r="E539">
        <v>33</v>
      </c>
      <c r="F539" t="s">
        <v>2946</v>
      </c>
      <c r="G539" t="s">
        <v>1405</v>
      </c>
      <c r="H539" t="s">
        <v>2369</v>
      </c>
      <c r="I539" t="s">
        <v>592</v>
      </c>
      <c r="J539" t="s">
        <v>110</v>
      </c>
      <c r="K539" t="s">
        <v>28</v>
      </c>
      <c r="L539" s="1">
        <v>43563</v>
      </c>
      <c r="M539" s="2">
        <v>707902</v>
      </c>
      <c r="N539" s="2" t="s">
        <v>2950</v>
      </c>
      <c r="O539" t="s">
        <v>130</v>
      </c>
      <c r="P539" t="s">
        <v>90</v>
      </c>
      <c r="Q539" t="s">
        <v>158</v>
      </c>
      <c r="R539">
        <v>7.1</v>
      </c>
      <c r="S539" t="s">
        <v>2953</v>
      </c>
    </row>
    <row r="540" spans="1:19" x14ac:dyDescent="0.3">
      <c r="A540" t="s">
        <v>1418</v>
      </c>
      <c r="B540" t="s">
        <v>233</v>
      </c>
      <c r="C540" t="s">
        <v>161</v>
      </c>
      <c r="D540" t="s">
        <v>24</v>
      </c>
      <c r="E540">
        <v>31</v>
      </c>
      <c r="F540" t="s">
        <v>2946</v>
      </c>
      <c r="G540" t="s">
        <v>1407</v>
      </c>
      <c r="H540" t="s">
        <v>2726</v>
      </c>
      <c r="I540" t="s">
        <v>368</v>
      </c>
      <c r="J540" t="s">
        <v>599</v>
      </c>
      <c r="K540" t="s">
        <v>48</v>
      </c>
      <c r="L540" s="1">
        <v>44669</v>
      </c>
      <c r="M540" s="2">
        <v>344867</v>
      </c>
      <c r="N540" s="2" t="s">
        <v>2948</v>
      </c>
      <c r="O540" t="s">
        <v>216</v>
      </c>
      <c r="P540" t="s">
        <v>353</v>
      </c>
      <c r="Q540" t="s">
        <v>79</v>
      </c>
      <c r="R540">
        <v>4.0999999999999996</v>
      </c>
      <c r="S540" t="s">
        <v>2952</v>
      </c>
    </row>
    <row r="541" spans="1:19" x14ac:dyDescent="0.3">
      <c r="A541" t="s">
        <v>1420</v>
      </c>
      <c r="B541" t="s">
        <v>190</v>
      </c>
      <c r="C541" t="s">
        <v>108</v>
      </c>
      <c r="D541" t="s">
        <v>45</v>
      </c>
      <c r="E541">
        <v>43</v>
      </c>
      <c r="F541" t="s">
        <v>2946</v>
      </c>
      <c r="G541" t="s">
        <v>1409</v>
      </c>
      <c r="H541" t="s">
        <v>2727</v>
      </c>
      <c r="I541" t="s">
        <v>368</v>
      </c>
      <c r="J541" t="s">
        <v>267</v>
      </c>
      <c r="K541" t="s">
        <v>35</v>
      </c>
      <c r="L541" s="1">
        <v>44119</v>
      </c>
      <c r="M541" s="2">
        <v>612301</v>
      </c>
      <c r="N541" s="2" t="s">
        <v>2950</v>
      </c>
      <c r="O541" t="s">
        <v>130</v>
      </c>
      <c r="P541" t="s">
        <v>152</v>
      </c>
      <c r="Q541" t="s">
        <v>65</v>
      </c>
      <c r="R541">
        <v>5.6</v>
      </c>
      <c r="S541" t="s">
        <v>2953</v>
      </c>
    </row>
    <row r="542" spans="1:19" x14ac:dyDescent="0.3">
      <c r="A542" t="s">
        <v>1423</v>
      </c>
      <c r="B542" t="s">
        <v>56</v>
      </c>
      <c r="C542" t="s">
        <v>273</v>
      </c>
      <c r="D542" t="s">
        <v>45</v>
      </c>
      <c r="E542">
        <v>53</v>
      </c>
      <c r="F542" t="s">
        <v>2947</v>
      </c>
      <c r="G542" t="s">
        <v>1411</v>
      </c>
      <c r="H542" t="s">
        <v>1412</v>
      </c>
      <c r="I542" t="s">
        <v>100</v>
      </c>
      <c r="J542" t="s">
        <v>101</v>
      </c>
      <c r="K542" t="s">
        <v>28</v>
      </c>
      <c r="L542" s="1">
        <v>43373</v>
      </c>
      <c r="M542" s="2">
        <v>627273</v>
      </c>
      <c r="N542" s="2" t="s">
        <v>2950</v>
      </c>
      <c r="O542" t="s">
        <v>253</v>
      </c>
      <c r="P542" t="s">
        <v>353</v>
      </c>
      <c r="Q542" t="s">
        <v>65</v>
      </c>
      <c r="R542">
        <v>7.6</v>
      </c>
      <c r="S542" t="s">
        <v>2953</v>
      </c>
    </row>
    <row r="543" spans="1:19" x14ac:dyDescent="0.3">
      <c r="A543" t="s">
        <v>1425</v>
      </c>
      <c r="B543" t="s">
        <v>98</v>
      </c>
      <c r="C543" t="s">
        <v>516</v>
      </c>
      <c r="D543" t="s">
        <v>24</v>
      </c>
      <c r="E543">
        <v>27</v>
      </c>
      <c r="F543" t="s">
        <v>2945</v>
      </c>
      <c r="G543" t="s">
        <v>1414</v>
      </c>
      <c r="H543" t="s">
        <v>1415</v>
      </c>
      <c r="I543" t="s">
        <v>235</v>
      </c>
      <c r="J543" t="s">
        <v>880</v>
      </c>
      <c r="K543" t="s">
        <v>35</v>
      </c>
      <c r="L543" s="1">
        <v>44058</v>
      </c>
      <c r="M543" s="2">
        <v>870520</v>
      </c>
      <c r="N543" s="2" t="s">
        <v>2950</v>
      </c>
      <c r="O543" t="s">
        <v>216</v>
      </c>
      <c r="P543" t="s">
        <v>21</v>
      </c>
      <c r="Q543" t="s">
        <v>244</v>
      </c>
      <c r="R543">
        <v>5.7</v>
      </c>
      <c r="S543" t="s">
        <v>2953</v>
      </c>
    </row>
    <row r="544" spans="1:19" x14ac:dyDescent="0.3">
      <c r="A544" t="s">
        <v>1428</v>
      </c>
      <c r="B544" t="s">
        <v>61</v>
      </c>
      <c r="C544" t="s">
        <v>75</v>
      </c>
      <c r="D544" t="s">
        <v>45</v>
      </c>
      <c r="E544">
        <v>55</v>
      </c>
      <c r="F544" t="s">
        <v>2947</v>
      </c>
      <c r="G544" t="s">
        <v>1417</v>
      </c>
      <c r="H544" t="s">
        <v>2369</v>
      </c>
      <c r="I544" t="s">
        <v>100</v>
      </c>
      <c r="J544" t="s">
        <v>421</v>
      </c>
      <c r="K544" t="s">
        <v>71</v>
      </c>
      <c r="L544" s="1">
        <v>43055</v>
      </c>
      <c r="M544" s="2">
        <v>275030</v>
      </c>
      <c r="N544" s="2" t="s">
        <v>2948</v>
      </c>
      <c r="O544" t="s">
        <v>41</v>
      </c>
      <c r="P544" t="s">
        <v>152</v>
      </c>
      <c r="Q544" t="s">
        <v>79</v>
      </c>
      <c r="R544">
        <v>8.5</v>
      </c>
      <c r="S544" t="s">
        <v>2951</v>
      </c>
    </row>
    <row r="545" spans="1:19" x14ac:dyDescent="0.3">
      <c r="A545" t="s">
        <v>1431</v>
      </c>
      <c r="B545" t="s">
        <v>207</v>
      </c>
      <c r="C545" t="s">
        <v>86</v>
      </c>
      <c r="D545" t="s">
        <v>24</v>
      </c>
      <c r="E545">
        <v>55</v>
      </c>
      <c r="F545" t="s">
        <v>2947</v>
      </c>
      <c r="G545" t="s">
        <v>1419</v>
      </c>
      <c r="H545" t="s">
        <v>2728</v>
      </c>
      <c r="I545" t="s">
        <v>368</v>
      </c>
      <c r="J545" t="s">
        <v>415</v>
      </c>
      <c r="K545" t="s">
        <v>48</v>
      </c>
      <c r="L545" s="1">
        <v>43016</v>
      </c>
      <c r="M545" s="2">
        <v>347184</v>
      </c>
      <c r="N545" s="2" t="s">
        <v>2948</v>
      </c>
      <c r="O545" t="s">
        <v>253</v>
      </c>
      <c r="P545" t="s">
        <v>205</v>
      </c>
      <c r="Q545" t="s">
        <v>244</v>
      </c>
      <c r="R545">
        <v>8.6</v>
      </c>
      <c r="S545" t="s">
        <v>2951</v>
      </c>
    </row>
    <row r="546" spans="1:19" x14ac:dyDescent="0.3">
      <c r="A546" t="s">
        <v>2342</v>
      </c>
      <c r="B546" t="s">
        <v>190</v>
      </c>
      <c r="C546" t="s">
        <v>93</v>
      </c>
      <c r="D546" t="s">
        <v>24</v>
      </c>
      <c r="E546">
        <v>31</v>
      </c>
      <c r="F546" t="s">
        <v>2946</v>
      </c>
      <c r="G546" t="s">
        <v>1421</v>
      </c>
      <c r="H546" t="s">
        <v>1422</v>
      </c>
      <c r="I546" t="s">
        <v>53</v>
      </c>
      <c r="J546" t="s">
        <v>316</v>
      </c>
      <c r="K546" t="s">
        <v>28</v>
      </c>
      <c r="L546" s="1">
        <v>44035</v>
      </c>
      <c r="M546" s="2">
        <v>417009</v>
      </c>
      <c r="N546" s="2" t="s">
        <v>2948</v>
      </c>
      <c r="O546" t="s">
        <v>216</v>
      </c>
      <c r="P546" t="s">
        <v>90</v>
      </c>
      <c r="Q546" t="s">
        <v>158</v>
      </c>
      <c r="R546">
        <v>5.8</v>
      </c>
      <c r="S546" t="s">
        <v>2953</v>
      </c>
    </row>
    <row r="547" spans="1:19" x14ac:dyDescent="0.3">
      <c r="A547" t="s">
        <v>1433</v>
      </c>
      <c r="B547" t="s">
        <v>154</v>
      </c>
      <c r="C547" t="s">
        <v>213</v>
      </c>
      <c r="D547" t="s">
        <v>24</v>
      </c>
      <c r="E547">
        <v>27</v>
      </c>
      <c r="F547" t="s">
        <v>2945</v>
      </c>
      <c r="G547" t="s">
        <v>1424</v>
      </c>
      <c r="H547" t="s">
        <v>2729</v>
      </c>
      <c r="I547" t="s">
        <v>485</v>
      </c>
      <c r="J547" t="s">
        <v>379</v>
      </c>
      <c r="K547" t="s">
        <v>28</v>
      </c>
      <c r="L547" s="1">
        <v>42544</v>
      </c>
      <c r="M547" s="2">
        <v>84523</v>
      </c>
      <c r="N547" s="2" t="s">
        <v>2949</v>
      </c>
      <c r="O547" t="s">
        <v>130</v>
      </c>
      <c r="P547" t="s">
        <v>205</v>
      </c>
      <c r="Q547" t="s">
        <v>65</v>
      </c>
      <c r="R547">
        <v>9.9</v>
      </c>
      <c r="S547" t="s">
        <v>2951</v>
      </c>
    </row>
    <row r="548" spans="1:19" x14ac:dyDescent="0.3">
      <c r="A548" t="s">
        <v>1435</v>
      </c>
      <c r="B548" t="s">
        <v>30</v>
      </c>
      <c r="C548" t="s">
        <v>475</v>
      </c>
      <c r="D548" t="s">
        <v>24</v>
      </c>
      <c r="E548">
        <v>48</v>
      </c>
      <c r="F548" t="s">
        <v>2947</v>
      </c>
      <c r="G548" t="s">
        <v>1426</v>
      </c>
      <c r="H548" t="s">
        <v>1427</v>
      </c>
      <c r="I548" t="s">
        <v>271</v>
      </c>
      <c r="J548" t="s">
        <v>129</v>
      </c>
      <c r="K548" t="s">
        <v>28</v>
      </c>
      <c r="L548" s="1">
        <v>42259</v>
      </c>
      <c r="M548" s="2">
        <v>316722</v>
      </c>
      <c r="N548" s="2" t="s">
        <v>2948</v>
      </c>
      <c r="O548" t="s">
        <v>216</v>
      </c>
      <c r="P548" t="s">
        <v>353</v>
      </c>
      <c r="Q548" t="s">
        <v>244</v>
      </c>
      <c r="R548">
        <v>10.7</v>
      </c>
      <c r="S548" t="s">
        <v>2951</v>
      </c>
    </row>
    <row r="549" spans="1:19" x14ac:dyDescent="0.3">
      <c r="A549" t="s">
        <v>1437</v>
      </c>
      <c r="B549" t="s">
        <v>127</v>
      </c>
      <c r="C549" t="s">
        <v>57</v>
      </c>
      <c r="D549" t="s">
        <v>24</v>
      </c>
      <c r="E549">
        <v>24</v>
      </c>
      <c r="F549" t="s">
        <v>2945</v>
      </c>
      <c r="G549" t="s">
        <v>1429</v>
      </c>
      <c r="H549" t="s">
        <v>1430</v>
      </c>
      <c r="I549" t="s">
        <v>209</v>
      </c>
      <c r="J549" t="s">
        <v>122</v>
      </c>
      <c r="K549" t="s">
        <v>71</v>
      </c>
      <c r="L549" s="1">
        <v>43935</v>
      </c>
      <c r="M549" s="2">
        <v>740471</v>
      </c>
      <c r="N549" s="2" t="s">
        <v>2950</v>
      </c>
      <c r="O549" t="s">
        <v>216</v>
      </c>
      <c r="P549" t="s">
        <v>21</v>
      </c>
      <c r="Q549" t="s">
        <v>79</v>
      </c>
      <c r="R549">
        <v>6.1</v>
      </c>
      <c r="S549" t="s">
        <v>2953</v>
      </c>
    </row>
    <row r="550" spans="1:19" x14ac:dyDescent="0.3">
      <c r="A550" t="s">
        <v>1440</v>
      </c>
      <c r="B550" t="s">
        <v>340</v>
      </c>
      <c r="C550" t="s">
        <v>264</v>
      </c>
      <c r="D550" t="s">
        <v>24</v>
      </c>
      <c r="F550" t="s">
        <v>2369</v>
      </c>
      <c r="G550" t="s">
        <v>2369</v>
      </c>
      <c r="H550" t="s">
        <v>2730</v>
      </c>
      <c r="I550" t="s">
        <v>394</v>
      </c>
      <c r="J550" t="s">
        <v>672</v>
      </c>
      <c r="K550" t="s">
        <v>35</v>
      </c>
      <c r="L550" s="1">
        <v>43011</v>
      </c>
      <c r="M550" s="2">
        <v>93213</v>
      </c>
      <c r="N550" s="2" t="s">
        <v>2949</v>
      </c>
      <c r="O550" t="s">
        <v>130</v>
      </c>
      <c r="P550" t="s">
        <v>152</v>
      </c>
      <c r="Q550" t="s">
        <v>72</v>
      </c>
      <c r="R550">
        <v>8.6</v>
      </c>
      <c r="S550" t="s">
        <v>2951</v>
      </c>
    </row>
    <row r="551" spans="1:19" x14ac:dyDescent="0.3">
      <c r="A551" t="s">
        <v>1443</v>
      </c>
      <c r="B551" t="s">
        <v>160</v>
      </c>
      <c r="C551" t="s">
        <v>93</v>
      </c>
      <c r="D551" t="s">
        <v>45</v>
      </c>
      <c r="E551">
        <v>34</v>
      </c>
      <c r="F551" t="s">
        <v>2946</v>
      </c>
      <c r="G551" t="s">
        <v>1432</v>
      </c>
      <c r="H551" t="s">
        <v>2369</v>
      </c>
      <c r="I551" t="s">
        <v>235</v>
      </c>
      <c r="J551" t="s">
        <v>445</v>
      </c>
      <c r="K551" t="s">
        <v>71</v>
      </c>
      <c r="L551" s="1">
        <v>43715</v>
      </c>
      <c r="M551" s="2">
        <v>218570</v>
      </c>
      <c r="N551" s="2" t="s">
        <v>2948</v>
      </c>
      <c r="O551" t="s">
        <v>253</v>
      </c>
      <c r="P551" t="s">
        <v>152</v>
      </c>
      <c r="Q551" t="s">
        <v>65</v>
      </c>
      <c r="R551">
        <v>6.7</v>
      </c>
      <c r="S551" t="s">
        <v>2953</v>
      </c>
    </row>
    <row r="552" spans="1:19" x14ac:dyDescent="0.3">
      <c r="A552" t="s">
        <v>1446</v>
      </c>
      <c r="B552" t="s">
        <v>259</v>
      </c>
      <c r="C552" t="s">
        <v>408</v>
      </c>
      <c r="D552" t="s">
        <v>45</v>
      </c>
      <c r="E552">
        <v>33</v>
      </c>
      <c r="F552" t="s">
        <v>2946</v>
      </c>
      <c r="G552" t="s">
        <v>1434</v>
      </c>
      <c r="H552" t="s">
        <v>2369</v>
      </c>
      <c r="I552" t="s">
        <v>368</v>
      </c>
      <c r="J552" t="s">
        <v>267</v>
      </c>
      <c r="K552" t="s">
        <v>71</v>
      </c>
      <c r="M552" s="2">
        <v>332674</v>
      </c>
      <c r="N552" s="2" t="s">
        <v>2948</v>
      </c>
      <c r="O552" t="s">
        <v>253</v>
      </c>
      <c r="P552" t="s">
        <v>205</v>
      </c>
      <c r="Q552" t="s">
        <v>72</v>
      </c>
      <c r="R552">
        <v>6.9</v>
      </c>
      <c r="S552" t="s">
        <v>2953</v>
      </c>
    </row>
    <row r="553" spans="1:19" x14ac:dyDescent="0.3">
      <c r="A553" t="s">
        <v>1448</v>
      </c>
      <c r="B553" t="s">
        <v>348</v>
      </c>
      <c r="C553" t="s">
        <v>273</v>
      </c>
      <c r="D553" t="s">
        <v>24</v>
      </c>
      <c r="E553">
        <v>37</v>
      </c>
      <c r="F553" t="s">
        <v>2946</v>
      </c>
      <c r="G553" t="s">
        <v>1436</v>
      </c>
      <c r="H553" t="s">
        <v>2731</v>
      </c>
      <c r="I553" t="s">
        <v>592</v>
      </c>
      <c r="J553" t="s">
        <v>140</v>
      </c>
      <c r="K553" t="s">
        <v>28</v>
      </c>
      <c r="L553" s="1">
        <v>43673</v>
      </c>
      <c r="M553" s="2">
        <v>268536</v>
      </c>
      <c r="N553" s="2" t="s">
        <v>2948</v>
      </c>
      <c r="O553" t="s">
        <v>111</v>
      </c>
      <c r="P553" t="s">
        <v>21</v>
      </c>
      <c r="Q553" t="s">
        <v>65</v>
      </c>
      <c r="R553">
        <v>6.8</v>
      </c>
      <c r="S553" t="s">
        <v>2953</v>
      </c>
    </row>
    <row r="554" spans="1:19" x14ac:dyDescent="0.3">
      <c r="A554" t="s">
        <v>1449</v>
      </c>
      <c r="B554" t="s">
        <v>103</v>
      </c>
      <c r="C554" t="s">
        <v>18</v>
      </c>
      <c r="D554" t="s">
        <v>45</v>
      </c>
      <c r="E554">
        <v>29</v>
      </c>
      <c r="F554" t="s">
        <v>2945</v>
      </c>
      <c r="G554" t="s">
        <v>1438</v>
      </c>
      <c r="H554" t="s">
        <v>1439</v>
      </c>
      <c r="I554" t="s">
        <v>368</v>
      </c>
      <c r="J554" t="s">
        <v>47</v>
      </c>
      <c r="K554" t="s">
        <v>35</v>
      </c>
      <c r="L554" s="1">
        <v>42184</v>
      </c>
      <c r="M554" s="2">
        <v>701139</v>
      </c>
      <c r="N554" s="2" t="s">
        <v>2950</v>
      </c>
      <c r="O554" t="s">
        <v>253</v>
      </c>
      <c r="P554" t="s">
        <v>205</v>
      </c>
      <c r="Q554" t="s">
        <v>79</v>
      </c>
      <c r="R554">
        <v>10.9</v>
      </c>
      <c r="S554" t="s">
        <v>2951</v>
      </c>
    </row>
    <row r="555" spans="1:19" x14ac:dyDescent="0.3">
      <c r="A555" t="s">
        <v>1451</v>
      </c>
      <c r="B555" t="s">
        <v>17</v>
      </c>
      <c r="C555" t="s">
        <v>161</v>
      </c>
      <c r="D555" t="s">
        <v>24</v>
      </c>
      <c r="E555">
        <v>57</v>
      </c>
      <c r="F555" t="s">
        <v>2947</v>
      </c>
      <c r="G555" t="s">
        <v>1441</v>
      </c>
      <c r="H555" t="s">
        <v>1442</v>
      </c>
      <c r="I555" t="s">
        <v>100</v>
      </c>
      <c r="K555" t="s">
        <v>48</v>
      </c>
      <c r="L555" s="1">
        <v>43175</v>
      </c>
      <c r="M555" s="2">
        <v>8634.6</v>
      </c>
      <c r="N555" s="2" t="s">
        <v>2949</v>
      </c>
      <c r="O555" t="s">
        <v>111</v>
      </c>
      <c r="P555" t="s">
        <v>152</v>
      </c>
      <c r="Q555" t="s">
        <v>158</v>
      </c>
      <c r="R555">
        <v>8.1999999999999993</v>
      </c>
      <c r="S555" t="s">
        <v>2951</v>
      </c>
    </row>
    <row r="556" spans="1:19" x14ac:dyDescent="0.3">
      <c r="A556" t="s">
        <v>1453</v>
      </c>
      <c r="B556" t="s">
        <v>97</v>
      </c>
      <c r="C556" t="s">
        <v>348</v>
      </c>
      <c r="D556" t="s">
        <v>24</v>
      </c>
      <c r="E556">
        <v>40</v>
      </c>
      <c r="F556" t="s">
        <v>2946</v>
      </c>
      <c r="G556" t="s">
        <v>1444</v>
      </c>
      <c r="H556" t="s">
        <v>1445</v>
      </c>
      <c r="I556" t="s">
        <v>53</v>
      </c>
      <c r="J556" t="s">
        <v>54</v>
      </c>
      <c r="K556" t="s">
        <v>35</v>
      </c>
      <c r="L556" s="1">
        <v>43838</v>
      </c>
      <c r="M556" s="2">
        <v>90994</v>
      </c>
      <c r="N556" s="2" t="s">
        <v>2949</v>
      </c>
      <c r="O556" t="s">
        <v>41</v>
      </c>
      <c r="P556" t="s">
        <v>21</v>
      </c>
      <c r="Q556" t="s">
        <v>65</v>
      </c>
      <c r="R556">
        <v>6.3</v>
      </c>
      <c r="S556" t="s">
        <v>2953</v>
      </c>
    </row>
    <row r="557" spans="1:19" x14ac:dyDescent="0.3">
      <c r="A557" t="s">
        <v>1456</v>
      </c>
      <c r="B557" t="s">
        <v>145</v>
      </c>
      <c r="C557" t="s">
        <v>149</v>
      </c>
      <c r="D557" t="s">
        <v>24</v>
      </c>
      <c r="E557">
        <v>51</v>
      </c>
      <c r="F557" t="s">
        <v>2947</v>
      </c>
      <c r="G557" t="s">
        <v>1447</v>
      </c>
      <c r="H557" t="s">
        <v>2732</v>
      </c>
      <c r="I557" t="s">
        <v>485</v>
      </c>
      <c r="J557" t="s">
        <v>1165</v>
      </c>
      <c r="K557" t="s">
        <v>48</v>
      </c>
      <c r="L557" s="1">
        <v>44790</v>
      </c>
      <c r="M557" s="2">
        <v>415412</v>
      </c>
      <c r="N557" s="2" t="s">
        <v>2948</v>
      </c>
      <c r="O557" t="s">
        <v>41</v>
      </c>
      <c r="P557" t="s">
        <v>21</v>
      </c>
      <c r="Q557" t="s">
        <v>65</v>
      </c>
      <c r="R557">
        <v>3.7</v>
      </c>
      <c r="S557" t="s">
        <v>2952</v>
      </c>
    </row>
    <row r="558" spans="1:19" x14ac:dyDescent="0.3">
      <c r="A558" t="s">
        <v>1459</v>
      </c>
      <c r="B558" t="s">
        <v>137</v>
      </c>
      <c r="C558" t="s">
        <v>277</v>
      </c>
      <c r="D558" t="s">
        <v>45</v>
      </c>
      <c r="E558">
        <v>45</v>
      </c>
      <c r="F558" t="s">
        <v>2946</v>
      </c>
      <c r="G558" t="s">
        <v>1007</v>
      </c>
      <c r="H558" t="s">
        <v>2369</v>
      </c>
      <c r="I558" t="s">
        <v>271</v>
      </c>
      <c r="J558" t="s">
        <v>143</v>
      </c>
      <c r="K558" t="s">
        <v>71</v>
      </c>
      <c r="L558" s="1">
        <v>42109</v>
      </c>
      <c r="M558" s="2">
        <v>712784</v>
      </c>
      <c r="N558" s="2" t="s">
        <v>2950</v>
      </c>
      <c r="O558" t="s">
        <v>111</v>
      </c>
      <c r="P558" t="s">
        <v>353</v>
      </c>
      <c r="Q558" t="s">
        <v>244</v>
      </c>
      <c r="R558">
        <v>11.1</v>
      </c>
      <c r="S558" t="s">
        <v>2951</v>
      </c>
    </row>
    <row r="559" spans="1:19" x14ac:dyDescent="0.3">
      <c r="A559" t="s">
        <v>1461</v>
      </c>
      <c r="B559" t="s">
        <v>67</v>
      </c>
      <c r="C559" t="s">
        <v>75</v>
      </c>
      <c r="D559" t="s">
        <v>45</v>
      </c>
      <c r="E559">
        <v>26</v>
      </c>
      <c r="F559" t="s">
        <v>2945</v>
      </c>
      <c r="G559" t="s">
        <v>1450</v>
      </c>
      <c r="H559" t="s">
        <v>2733</v>
      </c>
      <c r="I559" t="s">
        <v>368</v>
      </c>
      <c r="J559" t="s">
        <v>227</v>
      </c>
      <c r="K559" t="s">
        <v>28</v>
      </c>
      <c r="M559" s="2">
        <v>80139</v>
      </c>
      <c r="N559" s="2" t="s">
        <v>2949</v>
      </c>
      <c r="O559" t="s">
        <v>216</v>
      </c>
      <c r="P559" t="s">
        <v>205</v>
      </c>
      <c r="Q559" t="s">
        <v>244</v>
      </c>
      <c r="R559">
        <v>3.6</v>
      </c>
      <c r="S559" t="s">
        <v>2952</v>
      </c>
    </row>
    <row r="560" spans="1:19" x14ac:dyDescent="0.3">
      <c r="A560" t="s">
        <v>1463</v>
      </c>
      <c r="B560" t="s">
        <v>555</v>
      </c>
      <c r="C560" t="s">
        <v>68</v>
      </c>
      <c r="D560" t="s">
        <v>24</v>
      </c>
      <c r="E560">
        <v>31</v>
      </c>
      <c r="F560" t="s">
        <v>2946</v>
      </c>
      <c r="G560" t="s">
        <v>1452</v>
      </c>
      <c r="H560" t="s">
        <v>2369</v>
      </c>
      <c r="I560" t="s">
        <v>235</v>
      </c>
      <c r="J560" t="s">
        <v>528</v>
      </c>
      <c r="K560" t="s">
        <v>71</v>
      </c>
      <c r="L560" s="1">
        <v>43776</v>
      </c>
      <c r="M560" s="2">
        <v>735797</v>
      </c>
      <c r="N560" s="2" t="s">
        <v>2950</v>
      </c>
      <c r="O560" t="s">
        <v>130</v>
      </c>
      <c r="P560" t="s">
        <v>353</v>
      </c>
      <c r="Q560" t="s">
        <v>244</v>
      </c>
      <c r="R560">
        <v>6.5</v>
      </c>
      <c r="S560" t="s">
        <v>2953</v>
      </c>
    </row>
    <row r="561" spans="1:19" x14ac:dyDescent="0.3">
      <c r="A561" t="s">
        <v>1465</v>
      </c>
      <c r="B561" t="s">
        <v>141</v>
      </c>
      <c r="C561" t="s">
        <v>146</v>
      </c>
      <c r="D561" t="s">
        <v>24</v>
      </c>
      <c r="E561">
        <v>48</v>
      </c>
      <c r="F561" t="s">
        <v>2947</v>
      </c>
      <c r="G561" t="s">
        <v>1454</v>
      </c>
      <c r="H561" t="s">
        <v>1455</v>
      </c>
      <c r="I561" t="s">
        <v>485</v>
      </c>
      <c r="J561" t="s">
        <v>486</v>
      </c>
      <c r="K561" t="s">
        <v>35</v>
      </c>
      <c r="L561" s="1">
        <v>43758</v>
      </c>
      <c r="M561" s="2">
        <v>555469</v>
      </c>
      <c r="N561" s="2" t="s">
        <v>2950</v>
      </c>
      <c r="O561" t="s">
        <v>130</v>
      </c>
      <c r="P561" t="s">
        <v>353</v>
      </c>
      <c r="Q561" t="s">
        <v>244</v>
      </c>
      <c r="R561">
        <v>6.6</v>
      </c>
      <c r="S561" t="s">
        <v>2953</v>
      </c>
    </row>
    <row r="562" spans="1:19" x14ac:dyDescent="0.3">
      <c r="A562" t="s">
        <v>1467</v>
      </c>
      <c r="B562" t="s">
        <v>74</v>
      </c>
      <c r="C562" t="s">
        <v>336</v>
      </c>
      <c r="D562" t="s">
        <v>45</v>
      </c>
      <c r="E562">
        <v>42</v>
      </c>
      <c r="F562" t="s">
        <v>2946</v>
      </c>
      <c r="G562" t="s">
        <v>1457</v>
      </c>
      <c r="H562" t="s">
        <v>1458</v>
      </c>
      <c r="I562" t="s">
        <v>53</v>
      </c>
      <c r="J562" t="s">
        <v>54</v>
      </c>
      <c r="K562" t="s">
        <v>71</v>
      </c>
      <c r="L562" s="1">
        <v>44418</v>
      </c>
      <c r="M562" s="2">
        <v>856043</v>
      </c>
      <c r="N562" s="2" t="s">
        <v>2950</v>
      </c>
      <c r="O562" t="s">
        <v>253</v>
      </c>
      <c r="P562" t="s">
        <v>21</v>
      </c>
      <c r="Q562" t="s">
        <v>72</v>
      </c>
      <c r="R562">
        <v>4.8</v>
      </c>
      <c r="S562" t="s">
        <v>2952</v>
      </c>
    </row>
    <row r="563" spans="1:19" x14ac:dyDescent="0.3">
      <c r="A563" t="s">
        <v>1470</v>
      </c>
      <c r="B563" t="s">
        <v>148</v>
      </c>
      <c r="C563" t="s">
        <v>155</v>
      </c>
      <c r="D563" t="s">
        <v>24</v>
      </c>
      <c r="E563">
        <v>32</v>
      </c>
      <c r="F563" t="s">
        <v>2946</v>
      </c>
      <c r="G563" t="s">
        <v>1460</v>
      </c>
      <c r="H563" t="s">
        <v>2369</v>
      </c>
      <c r="I563" t="s">
        <v>235</v>
      </c>
      <c r="J563" t="s">
        <v>480</v>
      </c>
      <c r="K563" t="s">
        <v>28</v>
      </c>
      <c r="L563" s="1">
        <v>43234</v>
      </c>
      <c r="M563" s="2">
        <v>261010</v>
      </c>
      <c r="N563" s="2" t="s">
        <v>2948</v>
      </c>
      <c r="O563" t="s">
        <v>111</v>
      </c>
      <c r="P563" t="s">
        <v>152</v>
      </c>
      <c r="Q563" t="s">
        <v>244</v>
      </c>
      <c r="R563">
        <v>8</v>
      </c>
      <c r="S563" t="s">
        <v>2953</v>
      </c>
    </row>
    <row r="564" spans="1:19" x14ac:dyDescent="0.3">
      <c r="A564" t="s">
        <v>1473</v>
      </c>
      <c r="B564" t="s">
        <v>67</v>
      </c>
      <c r="C564" t="s">
        <v>50</v>
      </c>
      <c r="D564" t="s">
        <v>45</v>
      </c>
      <c r="E564">
        <v>56</v>
      </c>
      <c r="F564" t="s">
        <v>2947</v>
      </c>
      <c r="G564" t="s">
        <v>1462</v>
      </c>
      <c r="H564" t="s">
        <v>2734</v>
      </c>
      <c r="I564" t="s">
        <v>209</v>
      </c>
      <c r="J564" t="s">
        <v>811</v>
      </c>
      <c r="K564" t="s">
        <v>28</v>
      </c>
      <c r="L564" s="1">
        <v>43589</v>
      </c>
      <c r="M564" s="2">
        <v>282163</v>
      </c>
      <c r="N564" s="2" t="s">
        <v>2948</v>
      </c>
      <c r="O564" t="s">
        <v>41</v>
      </c>
      <c r="P564" t="s">
        <v>152</v>
      </c>
      <c r="Q564" t="s">
        <v>244</v>
      </c>
      <c r="R564">
        <v>7</v>
      </c>
      <c r="S564" t="s">
        <v>2953</v>
      </c>
    </row>
    <row r="565" spans="1:19" x14ac:dyDescent="0.3">
      <c r="A565" t="s">
        <v>1475</v>
      </c>
      <c r="B565" t="s">
        <v>359</v>
      </c>
      <c r="C565" t="s">
        <v>273</v>
      </c>
      <c r="D565" t="s">
        <v>24</v>
      </c>
      <c r="E565">
        <v>55</v>
      </c>
      <c r="F565" t="s">
        <v>2947</v>
      </c>
      <c r="G565" t="s">
        <v>1464</v>
      </c>
      <c r="H565" t="s">
        <v>2735</v>
      </c>
      <c r="I565" t="s">
        <v>53</v>
      </c>
      <c r="J565" t="s">
        <v>659</v>
      </c>
      <c r="K565" t="s">
        <v>48</v>
      </c>
      <c r="L565" s="1">
        <v>43932</v>
      </c>
      <c r="M565" s="2">
        <v>515080</v>
      </c>
      <c r="N565" s="2" t="s">
        <v>2950</v>
      </c>
      <c r="O565" t="s">
        <v>198</v>
      </c>
      <c r="P565" t="s">
        <v>90</v>
      </c>
      <c r="Q565" t="s">
        <v>244</v>
      </c>
      <c r="R565">
        <v>5.5</v>
      </c>
      <c r="S565" t="s">
        <v>2953</v>
      </c>
    </row>
    <row r="566" spans="1:19" x14ac:dyDescent="0.3">
      <c r="A566" t="s">
        <v>1476</v>
      </c>
      <c r="B566" t="s">
        <v>81</v>
      </c>
      <c r="C566" t="s">
        <v>348</v>
      </c>
      <c r="D566" t="s">
        <v>45</v>
      </c>
      <c r="E566">
        <v>48</v>
      </c>
      <c r="F566" t="s">
        <v>2947</v>
      </c>
      <c r="G566" t="s">
        <v>1466</v>
      </c>
      <c r="H566" t="s">
        <v>2369</v>
      </c>
      <c r="I566" t="s">
        <v>394</v>
      </c>
      <c r="J566" t="s">
        <v>410</v>
      </c>
      <c r="K566" t="s">
        <v>71</v>
      </c>
      <c r="L566" s="1">
        <v>42874</v>
      </c>
      <c r="M566" s="2">
        <v>617599</v>
      </c>
      <c r="N566" s="2" t="s">
        <v>2950</v>
      </c>
      <c r="O566" t="s">
        <v>130</v>
      </c>
      <c r="P566" t="s">
        <v>90</v>
      </c>
      <c r="Q566" t="s">
        <v>244</v>
      </c>
      <c r="R566">
        <v>9</v>
      </c>
      <c r="S566" t="s">
        <v>2951</v>
      </c>
    </row>
    <row r="567" spans="1:19" x14ac:dyDescent="0.3">
      <c r="A567" t="s">
        <v>1479</v>
      </c>
      <c r="B567" t="s">
        <v>160</v>
      </c>
      <c r="C567" t="s">
        <v>516</v>
      </c>
      <c r="D567" t="s">
        <v>45</v>
      </c>
      <c r="E567">
        <v>54</v>
      </c>
      <c r="F567" t="s">
        <v>2947</v>
      </c>
      <c r="G567" t="s">
        <v>1468</v>
      </c>
      <c r="H567" t="s">
        <v>2369</v>
      </c>
      <c r="I567" t="s">
        <v>592</v>
      </c>
      <c r="J567" t="s">
        <v>1469</v>
      </c>
      <c r="K567" t="s">
        <v>28</v>
      </c>
      <c r="L567" s="1">
        <v>44020</v>
      </c>
      <c r="M567" s="2">
        <v>393686</v>
      </c>
      <c r="N567" s="2" t="s">
        <v>2948</v>
      </c>
      <c r="O567" t="s">
        <v>130</v>
      </c>
      <c r="P567" t="s">
        <v>152</v>
      </c>
      <c r="Q567" t="s">
        <v>158</v>
      </c>
      <c r="R567">
        <v>5.9</v>
      </c>
      <c r="S567" t="s">
        <v>2953</v>
      </c>
    </row>
    <row r="568" spans="1:19" x14ac:dyDescent="0.3">
      <c r="A568" t="s">
        <v>1480</v>
      </c>
      <c r="B568" t="s">
        <v>416</v>
      </c>
      <c r="C568" t="s">
        <v>362</v>
      </c>
      <c r="D568" t="s">
        <v>45</v>
      </c>
      <c r="E568">
        <v>45</v>
      </c>
      <c r="F568" t="s">
        <v>2946</v>
      </c>
      <c r="G568" t="s">
        <v>1471</v>
      </c>
      <c r="H568" t="s">
        <v>2369</v>
      </c>
      <c r="I568" t="s">
        <v>53</v>
      </c>
      <c r="J568" t="s">
        <v>1472</v>
      </c>
      <c r="K568" t="s">
        <v>28</v>
      </c>
      <c r="L568" s="1">
        <v>43490</v>
      </c>
      <c r="M568" s="2">
        <v>719277</v>
      </c>
      <c r="N568" s="2" t="s">
        <v>2950</v>
      </c>
      <c r="O568" t="s">
        <v>130</v>
      </c>
      <c r="P568" t="s">
        <v>353</v>
      </c>
      <c r="Q568" t="s">
        <v>244</v>
      </c>
      <c r="R568">
        <v>7.3</v>
      </c>
      <c r="S568" t="s">
        <v>2953</v>
      </c>
    </row>
    <row r="569" spans="1:19" x14ac:dyDescent="0.3">
      <c r="A569" t="s">
        <v>1482</v>
      </c>
      <c r="B569" t="s">
        <v>160</v>
      </c>
      <c r="C569" t="s">
        <v>62</v>
      </c>
      <c r="D569" t="s">
        <v>24</v>
      </c>
      <c r="E569">
        <v>47</v>
      </c>
      <c r="F569" t="s">
        <v>2947</v>
      </c>
      <c r="G569" t="s">
        <v>1474</v>
      </c>
      <c r="H569" t="s">
        <v>2736</v>
      </c>
      <c r="I569" t="s">
        <v>517</v>
      </c>
      <c r="J569" t="s">
        <v>440</v>
      </c>
      <c r="K569" t="s">
        <v>71</v>
      </c>
      <c r="L569" s="1">
        <v>42309</v>
      </c>
      <c r="M569" s="2">
        <v>482599</v>
      </c>
      <c r="N569" s="2" t="s">
        <v>2948</v>
      </c>
      <c r="O569" t="s">
        <v>130</v>
      </c>
      <c r="P569" t="s">
        <v>21</v>
      </c>
      <c r="Q569" t="s">
        <v>244</v>
      </c>
      <c r="R569">
        <v>11.3</v>
      </c>
      <c r="S569" t="s">
        <v>2951</v>
      </c>
    </row>
    <row r="570" spans="1:19" x14ac:dyDescent="0.3">
      <c r="A570" t="s">
        <v>1485</v>
      </c>
      <c r="B570" t="s">
        <v>359</v>
      </c>
      <c r="C570" t="s">
        <v>213</v>
      </c>
      <c r="D570" t="s">
        <v>24</v>
      </c>
      <c r="E570">
        <v>56</v>
      </c>
      <c r="F570" t="s">
        <v>2947</v>
      </c>
      <c r="G570" t="s">
        <v>2445</v>
      </c>
      <c r="H570" t="s">
        <v>2369</v>
      </c>
      <c r="I570" t="s">
        <v>592</v>
      </c>
      <c r="J570" t="s">
        <v>140</v>
      </c>
      <c r="K570" t="s">
        <v>48</v>
      </c>
      <c r="L570" s="1">
        <v>43122</v>
      </c>
      <c r="M570" s="2">
        <v>829173</v>
      </c>
      <c r="N570" s="2" t="s">
        <v>2950</v>
      </c>
      <c r="O570" t="s">
        <v>111</v>
      </c>
      <c r="P570" t="s">
        <v>205</v>
      </c>
      <c r="Q570" t="s">
        <v>244</v>
      </c>
      <c r="R570">
        <v>8.3000000000000007</v>
      </c>
      <c r="S570" t="s">
        <v>2951</v>
      </c>
    </row>
    <row r="571" spans="1:19" x14ac:dyDescent="0.3">
      <c r="A571" t="s">
        <v>1488</v>
      </c>
      <c r="B571" t="s">
        <v>119</v>
      </c>
      <c r="C571" t="s">
        <v>93</v>
      </c>
      <c r="D571" t="s">
        <v>45</v>
      </c>
      <c r="E571">
        <v>48</v>
      </c>
      <c r="F571" t="s">
        <v>2947</v>
      </c>
      <c r="G571" t="s">
        <v>1477</v>
      </c>
      <c r="H571" t="s">
        <v>1478</v>
      </c>
      <c r="I571" t="s">
        <v>53</v>
      </c>
      <c r="J571" t="s">
        <v>1028</v>
      </c>
      <c r="K571" t="s">
        <v>28</v>
      </c>
      <c r="L571" s="1">
        <v>44101</v>
      </c>
      <c r="N571" s="2" t="s">
        <v>2369</v>
      </c>
      <c r="O571" t="s">
        <v>253</v>
      </c>
      <c r="P571" t="s">
        <v>90</v>
      </c>
      <c r="Q571" t="s">
        <v>158</v>
      </c>
      <c r="R571">
        <v>5.6</v>
      </c>
      <c r="S571" t="s">
        <v>2953</v>
      </c>
    </row>
    <row r="572" spans="1:19" x14ac:dyDescent="0.3">
      <c r="A572" t="s">
        <v>1489</v>
      </c>
      <c r="B572" t="s">
        <v>92</v>
      </c>
      <c r="C572" t="s">
        <v>336</v>
      </c>
      <c r="D572" t="s">
        <v>45</v>
      </c>
      <c r="F572" t="s">
        <v>2369</v>
      </c>
      <c r="G572" t="s">
        <v>631</v>
      </c>
      <c r="H572" t="s">
        <v>2737</v>
      </c>
      <c r="I572" t="s">
        <v>368</v>
      </c>
      <c r="J572" t="s">
        <v>215</v>
      </c>
      <c r="K572" t="s">
        <v>28</v>
      </c>
      <c r="L572" s="1">
        <v>43984</v>
      </c>
      <c r="M572" s="2">
        <v>694608</v>
      </c>
      <c r="N572" s="2" t="s">
        <v>2950</v>
      </c>
      <c r="O572" t="s">
        <v>111</v>
      </c>
      <c r="P572" t="s">
        <v>353</v>
      </c>
      <c r="Q572" t="s">
        <v>79</v>
      </c>
      <c r="R572">
        <v>6.3</v>
      </c>
      <c r="S572" t="s">
        <v>2953</v>
      </c>
    </row>
    <row r="573" spans="1:19" x14ac:dyDescent="0.3">
      <c r="A573" t="s">
        <v>1491</v>
      </c>
      <c r="B573" t="s">
        <v>17</v>
      </c>
      <c r="C573" t="s">
        <v>213</v>
      </c>
      <c r="D573" t="s">
        <v>24</v>
      </c>
      <c r="E573">
        <v>30</v>
      </c>
      <c r="F573" t="s">
        <v>2945</v>
      </c>
      <c r="G573" t="s">
        <v>1481</v>
      </c>
      <c r="H573" t="s">
        <v>2369</v>
      </c>
      <c r="I573" t="s">
        <v>485</v>
      </c>
      <c r="J573" t="s">
        <v>185</v>
      </c>
      <c r="K573" t="s">
        <v>71</v>
      </c>
      <c r="L573" s="1">
        <v>42139</v>
      </c>
      <c r="M573" s="2">
        <v>454841</v>
      </c>
      <c r="N573" s="2" t="s">
        <v>2948</v>
      </c>
      <c r="O573" t="s">
        <v>130</v>
      </c>
      <c r="P573" t="s">
        <v>21</v>
      </c>
      <c r="Q573" t="s">
        <v>244</v>
      </c>
      <c r="R573">
        <v>11</v>
      </c>
      <c r="S573" t="s">
        <v>2951</v>
      </c>
    </row>
    <row r="574" spans="1:19" x14ac:dyDescent="0.3">
      <c r="A574" t="s">
        <v>1494</v>
      </c>
      <c r="B574" t="s">
        <v>17</v>
      </c>
      <c r="C574" t="s">
        <v>50</v>
      </c>
      <c r="D574" t="s">
        <v>24</v>
      </c>
      <c r="E574">
        <v>31</v>
      </c>
      <c r="F574" t="s">
        <v>2946</v>
      </c>
      <c r="G574" t="s">
        <v>1483</v>
      </c>
      <c r="H574" t="s">
        <v>2369</v>
      </c>
      <c r="I574" t="s">
        <v>517</v>
      </c>
      <c r="J574" t="s">
        <v>1484</v>
      </c>
      <c r="K574" t="s">
        <v>71</v>
      </c>
      <c r="L574" s="1">
        <v>44207</v>
      </c>
      <c r="M574" s="2">
        <v>136032</v>
      </c>
      <c r="N574" s="2" t="s">
        <v>2949</v>
      </c>
      <c r="O574" t="s">
        <v>216</v>
      </c>
      <c r="P574" t="s">
        <v>21</v>
      </c>
      <c r="Q574" t="s">
        <v>65</v>
      </c>
      <c r="R574">
        <v>5.3</v>
      </c>
      <c r="S574" t="s">
        <v>2953</v>
      </c>
    </row>
    <row r="575" spans="1:19" x14ac:dyDescent="0.3">
      <c r="A575" t="s">
        <v>1496</v>
      </c>
      <c r="B575" t="s">
        <v>92</v>
      </c>
      <c r="C575" t="s">
        <v>108</v>
      </c>
      <c r="D575" t="s">
        <v>24</v>
      </c>
      <c r="E575">
        <v>54</v>
      </c>
      <c r="F575" t="s">
        <v>2947</v>
      </c>
      <c r="G575" t="s">
        <v>1486</v>
      </c>
      <c r="H575" t="s">
        <v>1487</v>
      </c>
      <c r="I575" t="s">
        <v>100</v>
      </c>
      <c r="J575" t="s">
        <v>1018</v>
      </c>
      <c r="K575" t="s">
        <v>48</v>
      </c>
      <c r="M575" s="2">
        <v>189534</v>
      </c>
      <c r="N575" s="2" t="s">
        <v>2949</v>
      </c>
      <c r="O575" t="s">
        <v>216</v>
      </c>
      <c r="P575" t="s">
        <v>21</v>
      </c>
      <c r="Q575" t="s">
        <v>72</v>
      </c>
      <c r="R575">
        <v>8.8000000000000007</v>
      </c>
      <c r="S575" t="s">
        <v>2951</v>
      </c>
    </row>
    <row r="576" spans="1:19" x14ac:dyDescent="0.3">
      <c r="A576" t="s">
        <v>1497</v>
      </c>
      <c r="B576" t="s">
        <v>17</v>
      </c>
      <c r="C576" t="s">
        <v>82</v>
      </c>
      <c r="D576" t="s">
        <v>24</v>
      </c>
      <c r="E576">
        <v>53</v>
      </c>
      <c r="F576" t="s">
        <v>2947</v>
      </c>
      <c r="G576" t="s">
        <v>2369</v>
      </c>
      <c r="H576" t="s">
        <v>2369</v>
      </c>
      <c r="I576" t="s">
        <v>485</v>
      </c>
      <c r="J576" t="s">
        <v>676</v>
      </c>
      <c r="K576" t="s">
        <v>71</v>
      </c>
      <c r="L576" s="1">
        <v>44668</v>
      </c>
      <c r="M576" s="2">
        <v>166330</v>
      </c>
      <c r="N576" s="2" t="s">
        <v>2949</v>
      </c>
      <c r="O576" t="s">
        <v>41</v>
      </c>
      <c r="P576" t="s">
        <v>205</v>
      </c>
      <c r="Q576" t="s">
        <v>79</v>
      </c>
      <c r="R576">
        <v>4.0999999999999996</v>
      </c>
      <c r="S576" t="s">
        <v>2952</v>
      </c>
    </row>
    <row r="577" spans="1:19" x14ac:dyDescent="0.3">
      <c r="A577" t="s">
        <v>1498</v>
      </c>
      <c r="B577" t="s">
        <v>44</v>
      </c>
      <c r="C577" t="s">
        <v>362</v>
      </c>
      <c r="D577" t="s">
        <v>24</v>
      </c>
      <c r="E577">
        <v>49</v>
      </c>
      <c r="F577" t="s">
        <v>2947</v>
      </c>
      <c r="G577" t="s">
        <v>1490</v>
      </c>
      <c r="H577" t="s">
        <v>2738</v>
      </c>
      <c r="I577" t="s">
        <v>235</v>
      </c>
      <c r="J577" t="s">
        <v>89</v>
      </c>
      <c r="K577" t="s">
        <v>48</v>
      </c>
      <c r="M577" s="2">
        <v>2389.2399999999998</v>
      </c>
      <c r="N577" s="2" t="s">
        <v>2949</v>
      </c>
      <c r="O577" t="s">
        <v>130</v>
      </c>
      <c r="P577" t="s">
        <v>205</v>
      </c>
      <c r="Q577" t="s">
        <v>65</v>
      </c>
      <c r="R577">
        <v>11</v>
      </c>
      <c r="S577" t="s">
        <v>2951</v>
      </c>
    </row>
    <row r="578" spans="1:19" x14ac:dyDescent="0.3">
      <c r="A578" t="s">
        <v>1499</v>
      </c>
      <c r="B578" t="s">
        <v>119</v>
      </c>
      <c r="C578" t="s">
        <v>133</v>
      </c>
      <c r="D578" t="s">
        <v>24</v>
      </c>
      <c r="E578">
        <v>23</v>
      </c>
      <c r="F578" t="s">
        <v>2945</v>
      </c>
      <c r="G578" t="s">
        <v>1492</v>
      </c>
      <c r="H578" t="s">
        <v>1493</v>
      </c>
      <c r="I578" t="s">
        <v>592</v>
      </c>
      <c r="J578" t="s">
        <v>157</v>
      </c>
      <c r="K578" t="s">
        <v>28</v>
      </c>
      <c r="L578" s="1">
        <v>44533</v>
      </c>
      <c r="M578" s="2">
        <v>856333</v>
      </c>
      <c r="N578" s="2" t="s">
        <v>2950</v>
      </c>
      <c r="O578" t="s">
        <v>41</v>
      </c>
      <c r="P578" t="s">
        <v>205</v>
      </c>
      <c r="Q578" t="s">
        <v>79</v>
      </c>
      <c r="R578">
        <v>4.4000000000000004</v>
      </c>
      <c r="S578" t="s">
        <v>2952</v>
      </c>
    </row>
    <row r="579" spans="1:19" x14ac:dyDescent="0.3">
      <c r="A579" t="s">
        <v>1502</v>
      </c>
      <c r="B579" t="s">
        <v>259</v>
      </c>
      <c r="C579" t="s">
        <v>516</v>
      </c>
      <c r="D579" t="s">
        <v>24</v>
      </c>
      <c r="E579">
        <v>53</v>
      </c>
      <c r="F579" t="s">
        <v>2947</v>
      </c>
      <c r="G579" t="s">
        <v>1495</v>
      </c>
      <c r="H579" t="s">
        <v>2369</v>
      </c>
      <c r="I579" t="s">
        <v>209</v>
      </c>
      <c r="J579" t="s">
        <v>210</v>
      </c>
      <c r="K579" t="s">
        <v>48</v>
      </c>
      <c r="L579" s="1">
        <v>44623</v>
      </c>
      <c r="M579" s="2">
        <v>271582</v>
      </c>
      <c r="N579" s="2" t="s">
        <v>2948</v>
      </c>
      <c r="O579" t="s">
        <v>216</v>
      </c>
      <c r="P579" t="s">
        <v>21</v>
      </c>
      <c r="Q579" t="s">
        <v>65</v>
      </c>
      <c r="R579">
        <v>4.2</v>
      </c>
      <c r="S579" t="s">
        <v>2952</v>
      </c>
    </row>
    <row r="580" spans="1:19" x14ac:dyDescent="0.3">
      <c r="A580" t="s">
        <v>1505</v>
      </c>
      <c r="B580" t="s">
        <v>145</v>
      </c>
      <c r="C580" t="s">
        <v>200</v>
      </c>
      <c r="D580" t="s">
        <v>45</v>
      </c>
      <c r="E580">
        <v>34</v>
      </c>
      <c r="F580" t="s">
        <v>2946</v>
      </c>
      <c r="G580" t="s">
        <v>2369</v>
      </c>
      <c r="H580" t="s">
        <v>2739</v>
      </c>
      <c r="I580" t="s">
        <v>271</v>
      </c>
      <c r="J580" t="s">
        <v>524</v>
      </c>
      <c r="K580" t="s">
        <v>48</v>
      </c>
      <c r="L580" s="1">
        <v>43980</v>
      </c>
      <c r="M580" s="2">
        <v>386614</v>
      </c>
      <c r="N580" s="2" t="s">
        <v>2948</v>
      </c>
      <c r="O580" t="s">
        <v>130</v>
      </c>
      <c r="P580" t="s">
        <v>90</v>
      </c>
      <c r="Q580" t="s">
        <v>79</v>
      </c>
      <c r="R580">
        <v>6</v>
      </c>
      <c r="S580" t="s">
        <v>2953</v>
      </c>
    </row>
    <row r="581" spans="1:19" x14ac:dyDescent="0.3">
      <c r="A581" t="s">
        <v>1507</v>
      </c>
      <c r="B581" t="s">
        <v>141</v>
      </c>
      <c r="C581" t="s">
        <v>146</v>
      </c>
      <c r="D581" t="s">
        <v>24</v>
      </c>
      <c r="E581">
        <v>22</v>
      </c>
      <c r="F581" t="s">
        <v>2945</v>
      </c>
      <c r="G581" t="s">
        <v>1454</v>
      </c>
      <c r="H581" t="s">
        <v>2369</v>
      </c>
      <c r="I581" t="s">
        <v>53</v>
      </c>
      <c r="J581" t="s">
        <v>712</v>
      </c>
      <c r="K581" t="s">
        <v>71</v>
      </c>
      <c r="L581" s="1">
        <v>44590</v>
      </c>
      <c r="M581" s="2">
        <v>188931</v>
      </c>
      <c r="N581" s="2" t="s">
        <v>2949</v>
      </c>
      <c r="O581" t="s">
        <v>111</v>
      </c>
      <c r="P581" t="s">
        <v>205</v>
      </c>
      <c r="Q581" t="s">
        <v>158</v>
      </c>
      <c r="R581">
        <v>4.3</v>
      </c>
      <c r="S581" t="s">
        <v>2952</v>
      </c>
    </row>
    <row r="582" spans="1:19" x14ac:dyDescent="0.3">
      <c r="A582" t="s">
        <v>1509</v>
      </c>
      <c r="B582" t="s">
        <v>30</v>
      </c>
      <c r="C582" t="s">
        <v>200</v>
      </c>
      <c r="D582" t="s">
        <v>45</v>
      </c>
      <c r="E582">
        <v>30</v>
      </c>
      <c r="F582" t="s">
        <v>2945</v>
      </c>
      <c r="G582" t="s">
        <v>2408</v>
      </c>
      <c r="H582" t="s">
        <v>2740</v>
      </c>
      <c r="I582" t="s">
        <v>485</v>
      </c>
      <c r="J582" t="s">
        <v>559</v>
      </c>
      <c r="K582" t="s">
        <v>48</v>
      </c>
      <c r="L582" s="1">
        <v>44770</v>
      </c>
      <c r="N582" s="2" t="s">
        <v>2369</v>
      </c>
      <c r="O582" t="s">
        <v>130</v>
      </c>
      <c r="P582" t="s">
        <v>353</v>
      </c>
      <c r="Q582" t="s">
        <v>244</v>
      </c>
      <c r="R582">
        <v>3.8</v>
      </c>
      <c r="S582" t="s">
        <v>2952</v>
      </c>
    </row>
    <row r="583" spans="1:19" x14ac:dyDescent="0.3">
      <c r="A583" t="s">
        <v>1511</v>
      </c>
      <c r="B583" t="s">
        <v>113</v>
      </c>
      <c r="C583" t="s">
        <v>23</v>
      </c>
      <c r="D583" t="s">
        <v>45</v>
      </c>
      <c r="E583">
        <v>56</v>
      </c>
      <c r="F583" t="s">
        <v>2947</v>
      </c>
      <c r="G583" t="s">
        <v>1500</v>
      </c>
      <c r="H583" t="s">
        <v>1501</v>
      </c>
      <c r="I583" t="s">
        <v>368</v>
      </c>
      <c r="J583" t="s">
        <v>415</v>
      </c>
      <c r="K583" t="s">
        <v>48</v>
      </c>
      <c r="L583" s="1">
        <v>42855</v>
      </c>
      <c r="M583" s="2">
        <v>348462</v>
      </c>
      <c r="N583" s="2" t="s">
        <v>2948</v>
      </c>
      <c r="O583" t="s">
        <v>198</v>
      </c>
      <c r="P583" t="s">
        <v>21</v>
      </c>
      <c r="Q583" t="s">
        <v>79</v>
      </c>
      <c r="R583">
        <v>9</v>
      </c>
      <c r="S583" t="s">
        <v>2951</v>
      </c>
    </row>
    <row r="584" spans="1:19" x14ac:dyDescent="0.3">
      <c r="A584" t="s">
        <v>1512</v>
      </c>
      <c r="B584" t="s">
        <v>301</v>
      </c>
      <c r="C584" t="s">
        <v>98</v>
      </c>
      <c r="D584" t="s">
        <v>24</v>
      </c>
      <c r="E584">
        <v>58</v>
      </c>
      <c r="F584" t="s">
        <v>2947</v>
      </c>
      <c r="G584" t="s">
        <v>1503</v>
      </c>
      <c r="H584" t="s">
        <v>1504</v>
      </c>
      <c r="I584" t="s">
        <v>517</v>
      </c>
      <c r="J584" t="s">
        <v>512</v>
      </c>
      <c r="K584" t="s">
        <v>28</v>
      </c>
      <c r="L584" s="1">
        <v>42998</v>
      </c>
      <c r="M584" s="2">
        <v>370170</v>
      </c>
      <c r="N584" s="2" t="s">
        <v>2948</v>
      </c>
      <c r="O584" t="s">
        <v>198</v>
      </c>
      <c r="P584" t="s">
        <v>152</v>
      </c>
      <c r="Q584" t="s">
        <v>72</v>
      </c>
      <c r="R584">
        <v>8.6</v>
      </c>
      <c r="S584" t="s">
        <v>2951</v>
      </c>
    </row>
    <row r="585" spans="1:19" x14ac:dyDescent="0.3">
      <c r="A585" t="s">
        <v>1513</v>
      </c>
      <c r="B585" t="s">
        <v>326</v>
      </c>
      <c r="C585" t="s">
        <v>249</v>
      </c>
      <c r="D585" t="s">
        <v>24</v>
      </c>
      <c r="E585">
        <v>43</v>
      </c>
      <c r="F585" t="s">
        <v>2946</v>
      </c>
      <c r="G585" t="s">
        <v>1506</v>
      </c>
      <c r="H585" t="s">
        <v>2741</v>
      </c>
      <c r="I585" t="s">
        <v>592</v>
      </c>
      <c r="J585" t="s">
        <v>157</v>
      </c>
      <c r="K585" t="s">
        <v>35</v>
      </c>
      <c r="L585" s="1">
        <v>44736</v>
      </c>
      <c r="M585" s="2">
        <v>324659</v>
      </c>
      <c r="N585" s="2" t="s">
        <v>2948</v>
      </c>
      <c r="O585" t="s">
        <v>253</v>
      </c>
      <c r="P585" t="s">
        <v>353</v>
      </c>
      <c r="Q585" t="s">
        <v>65</v>
      </c>
      <c r="R585">
        <v>3.9</v>
      </c>
      <c r="S585" t="s">
        <v>2952</v>
      </c>
    </row>
    <row r="586" spans="1:19" x14ac:dyDescent="0.3">
      <c r="A586" t="s">
        <v>1514</v>
      </c>
      <c r="B586" t="s">
        <v>281</v>
      </c>
      <c r="C586" t="s">
        <v>62</v>
      </c>
      <c r="D586" t="s">
        <v>24</v>
      </c>
      <c r="E586">
        <v>58</v>
      </c>
      <c r="F586" t="s">
        <v>2947</v>
      </c>
      <c r="G586" t="s">
        <v>1508</v>
      </c>
      <c r="H586" t="s">
        <v>2742</v>
      </c>
      <c r="I586" t="s">
        <v>592</v>
      </c>
      <c r="K586" t="s">
        <v>71</v>
      </c>
      <c r="L586" s="1">
        <v>42607</v>
      </c>
      <c r="M586" s="2">
        <v>390415</v>
      </c>
      <c r="N586" s="2" t="s">
        <v>2948</v>
      </c>
      <c r="O586" t="s">
        <v>130</v>
      </c>
      <c r="P586" t="s">
        <v>205</v>
      </c>
      <c r="Q586" t="s">
        <v>79</v>
      </c>
      <c r="R586">
        <v>9.6999999999999993</v>
      </c>
      <c r="S586" t="s">
        <v>2951</v>
      </c>
    </row>
    <row r="587" spans="1:19" x14ac:dyDescent="0.3">
      <c r="A587" t="s">
        <v>1516</v>
      </c>
      <c r="B587" t="s">
        <v>347</v>
      </c>
      <c r="C587" t="s">
        <v>155</v>
      </c>
      <c r="D587" t="s">
        <v>24</v>
      </c>
      <c r="E587">
        <v>41</v>
      </c>
      <c r="F587" t="s">
        <v>2946</v>
      </c>
      <c r="G587" t="s">
        <v>1510</v>
      </c>
      <c r="H587" t="s">
        <v>2743</v>
      </c>
      <c r="I587" t="s">
        <v>271</v>
      </c>
      <c r="J587" t="s">
        <v>95</v>
      </c>
      <c r="K587" t="s">
        <v>48</v>
      </c>
      <c r="L587" s="1">
        <v>42809</v>
      </c>
      <c r="M587" s="2">
        <v>700917</v>
      </c>
      <c r="N587" s="2" t="s">
        <v>2950</v>
      </c>
      <c r="O587" t="s">
        <v>253</v>
      </c>
      <c r="P587" t="s">
        <v>90</v>
      </c>
      <c r="Q587" t="s">
        <v>244</v>
      </c>
      <c r="R587">
        <v>9.1999999999999993</v>
      </c>
      <c r="S587" t="s">
        <v>2951</v>
      </c>
    </row>
    <row r="588" spans="1:19" x14ac:dyDescent="0.3">
      <c r="A588" t="s">
        <v>1518</v>
      </c>
      <c r="B588" t="s">
        <v>67</v>
      </c>
      <c r="C588" t="s">
        <v>104</v>
      </c>
      <c r="D588" t="s">
        <v>24</v>
      </c>
      <c r="E588">
        <v>35</v>
      </c>
      <c r="F588" t="s">
        <v>2946</v>
      </c>
      <c r="G588" t="s">
        <v>2369</v>
      </c>
      <c r="H588" t="s">
        <v>2744</v>
      </c>
      <c r="I588" t="s">
        <v>592</v>
      </c>
      <c r="J588" t="s">
        <v>1051</v>
      </c>
      <c r="K588" t="s">
        <v>71</v>
      </c>
      <c r="L588" s="1">
        <v>44260</v>
      </c>
      <c r="M588" s="2">
        <v>315086</v>
      </c>
      <c r="N588" s="2" t="s">
        <v>2948</v>
      </c>
      <c r="O588" t="s">
        <v>253</v>
      </c>
      <c r="P588" t="s">
        <v>90</v>
      </c>
      <c r="Q588" t="s">
        <v>158</v>
      </c>
      <c r="R588">
        <v>5.2</v>
      </c>
      <c r="S588" t="s">
        <v>2953</v>
      </c>
    </row>
    <row r="589" spans="1:19" x14ac:dyDescent="0.3">
      <c r="A589" t="s">
        <v>1519</v>
      </c>
      <c r="B589" t="s">
        <v>141</v>
      </c>
      <c r="C589" t="s">
        <v>31</v>
      </c>
      <c r="D589" t="s">
        <v>24</v>
      </c>
      <c r="E589">
        <v>56</v>
      </c>
      <c r="F589" t="s">
        <v>2947</v>
      </c>
      <c r="G589" t="s">
        <v>2446</v>
      </c>
      <c r="H589" t="s">
        <v>2745</v>
      </c>
      <c r="I589" t="s">
        <v>209</v>
      </c>
      <c r="J589" t="s">
        <v>78</v>
      </c>
      <c r="K589" t="s">
        <v>48</v>
      </c>
      <c r="M589" s="2">
        <v>343240</v>
      </c>
      <c r="N589" s="2" t="s">
        <v>2948</v>
      </c>
      <c r="O589" t="s">
        <v>130</v>
      </c>
      <c r="P589" t="s">
        <v>353</v>
      </c>
      <c r="Q589" t="s">
        <v>72</v>
      </c>
      <c r="R589">
        <v>10.5</v>
      </c>
      <c r="S589" t="s">
        <v>2951</v>
      </c>
    </row>
    <row r="590" spans="1:19" x14ac:dyDescent="0.3">
      <c r="A590" t="s">
        <v>1522</v>
      </c>
      <c r="B590" t="s">
        <v>385</v>
      </c>
      <c r="C590" t="s">
        <v>57</v>
      </c>
      <c r="D590" t="s">
        <v>24</v>
      </c>
      <c r="E590">
        <v>28</v>
      </c>
      <c r="F590" t="s">
        <v>2945</v>
      </c>
      <c r="G590" t="s">
        <v>2409</v>
      </c>
      <c r="H590" t="s">
        <v>2746</v>
      </c>
      <c r="I590" t="s">
        <v>592</v>
      </c>
      <c r="J590" t="s">
        <v>1469</v>
      </c>
      <c r="K590" t="s">
        <v>48</v>
      </c>
      <c r="L590" s="1">
        <v>43963</v>
      </c>
      <c r="M590" s="2">
        <v>672942</v>
      </c>
      <c r="N590" s="2" t="s">
        <v>2950</v>
      </c>
      <c r="O590" t="s">
        <v>41</v>
      </c>
      <c r="P590" t="s">
        <v>90</v>
      </c>
      <c r="Q590" t="s">
        <v>244</v>
      </c>
      <c r="R590">
        <v>6</v>
      </c>
      <c r="S590" t="s">
        <v>2953</v>
      </c>
    </row>
    <row r="591" spans="1:19" x14ac:dyDescent="0.3">
      <c r="A591" t="s">
        <v>1525</v>
      </c>
      <c r="B591" t="s">
        <v>160</v>
      </c>
      <c r="C591" t="s">
        <v>86</v>
      </c>
      <c r="D591" t="s">
        <v>24</v>
      </c>
      <c r="E591">
        <v>46</v>
      </c>
      <c r="F591" t="s">
        <v>2947</v>
      </c>
      <c r="G591" t="s">
        <v>1515</v>
      </c>
      <c r="H591" t="s">
        <v>2747</v>
      </c>
      <c r="I591" t="s">
        <v>517</v>
      </c>
      <c r="J591" t="s">
        <v>295</v>
      </c>
      <c r="K591" t="s">
        <v>48</v>
      </c>
      <c r="M591" s="2">
        <v>594703</v>
      </c>
      <c r="N591" s="2" t="s">
        <v>2950</v>
      </c>
      <c r="O591" t="s">
        <v>111</v>
      </c>
      <c r="P591" t="s">
        <v>353</v>
      </c>
      <c r="Q591" t="s">
        <v>65</v>
      </c>
      <c r="R591">
        <v>7.2</v>
      </c>
      <c r="S591" t="s">
        <v>2953</v>
      </c>
    </row>
    <row r="592" spans="1:19" x14ac:dyDescent="0.3">
      <c r="A592" t="s">
        <v>1527</v>
      </c>
      <c r="B592" t="s">
        <v>30</v>
      </c>
      <c r="C592" t="s">
        <v>31</v>
      </c>
      <c r="D592" t="s">
        <v>45</v>
      </c>
      <c r="E592">
        <v>45</v>
      </c>
      <c r="F592" t="s">
        <v>2946</v>
      </c>
      <c r="G592" t="s">
        <v>1517</v>
      </c>
      <c r="H592" t="s">
        <v>2748</v>
      </c>
      <c r="I592" t="s">
        <v>394</v>
      </c>
      <c r="J592" t="s">
        <v>195</v>
      </c>
      <c r="K592" t="s">
        <v>28</v>
      </c>
      <c r="L592" s="1">
        <v>42574</v>
      </c>
      <c r="M592" s="2">
        <v>743745</v>
      </c>
      <c r="N592" s="2" t="s">
        <v>2950</v>
      </c>
      <c r="O592" t="s">
        <v>253</v>
      </c>
      <c r="P592" t="s">
        <v>21</v>
      </c>
      <c r="Q592" t="s">
        <v>244</v>
      </c>
      <c r="R592">
        <v>9.8000000000000007</v>
      </c>
      <c r="S592" t="s">
        <v>2951</v>
      </c>
    </row>
    <row r="593" spans="1:19" x14ac:dyDescent="0.3">
      <c r="A593" t="s">
        <v>1530</v>
      </c>
      <c r="B593" t="s">
        <v>44</v>
      </c>
      <c r="C593" t="s">
        <v>155</v>
      </c>
      <c r="D593" t="s">
        <v>24</v>
      </c>
      <c r="E593">
        <v>46</v>
      </c>
      <c r="F593" t="s">
        <v>2947</v>
      </c>
      <c r="G593" t="s">
        <v>1908</v>
      </c>
      <c r="H593" t="s">
        <v>2749</v>
      </c>
      <c r="I593" t="s">
        <v>485</v>
      </c>
      <c r="K593" t="s">
        <v>48</v>
      </c>
      <c r="M593" s="2">
        <v>351571</v>
      </c>
      <c r="N593" s="2" t="s">
        <v>2948</v>
      </c>
      <c r="O593" t="s">
        <v>41</v>
      </c>
      <c r="P593" t="s">
        <v>21</v>
      </c>
      <c r="Q593" t="s">
        <v>158</v>
      </c>
      <c r="R593">
        <v>11.1</v>
      </c>
      <c r="S593" t="s">
        <v>2951</v>
      </c>
    </row>
    <row r="594" spans="1:19" x14ac:dyDescent="0.3">
      <c r="A594" t="s">
        <v>1532</v>
      </c>
      <c r="B594" t="s">
        <v>98</v>
      </c>
      <c r="C594" t="s">
        <v>108</v>
      </c>
      <c r="D594" t="s">
        <v>24</v>
      </c>
      <c r="F594" t="s">
        <v>2369</v>
      </c>
      <c r="G594" t="s">
        <v>1520</v>
      </c>
      <c r="H594" t="s">
        <v>1521</v>
      </c>
      <c r="I594" t="s">
        <v>100</v>
      </c>
      <c r="J594" t="s">
        <v>117</v>
      </c>
      <c r="K594" t="s">
        <v>71</v>
      </c>
      <c r="L594" s="1">
        <v>42590</v>
      </c>
      <c r="M594" s="2">
        <v>659038</v>
      </c>
      <c r="N594" s="2" t="s">
        <v>2950</v>
      </c>
      <c r="O594" t="s">
        <v>130</v>
      </c>
      <c r="P594" t="s">
        <v>152</v>
      </c>
      <c r="Q594" t="s">
        <v>65</v>
      </c>
      <c r="R594">
        <v>9.8000000000000007</v>
      </c>
      <c r="S594" t="s">
        <v>2951</v>
      </c>
    </row>
    <row r="595" spans="1:19" x14ac:dyDescent="0.3">
      <c r="A595" t="s">
        <v>1535</v>
      </c>
      <c r="B595" t="s">
        <v>340</v>
      </c>
      <c r="C595" t="s">
        <v>86</v>
      </c>
      <c r="D595" t="s">
        <v>24</v>
      </c>
      <c r="E595">
        <v>45</v>
      </c>
      <c r="F595" t="s">
        <v>2946</v>
      </c>
      <c r="G595" t="s">
        <v>1523</v>
      </c>
      <c r="H595" t="s">
        <v>1524</v>
      </c>
      <c r="I595" t="s">
        <v>394</v>
      </c>
      <c r="J595" t="s">
        <v>106</v>
      </c>
      <c r="K595" t="s">
        <v>71</v>
      </c>
      <c r="L595" s="1">
        <v>44873</v>
      </c>
      <c r="M595" s="2">
        <v>777203</v>
      </c>
      <c r="N595" s="2" t="s">
        <v>2950</v>
      </c>
      <c r="O595" t="s">
        <v>111</v>
      </c>
      <c r="P595" t="s">
        <v>152</v>
      </c>
      <c r="Q595" t="s">
        <v>79</v>
      </c>
      <c r="R595">
        <v>3.5</v>
      </c>
      <c r="S595" t="s">
        <v>2952</v>
      </c>
    </row>
    <row r="596" spans="1:19" x14ac:dyDescent="0.3">
      <c r="A596" t="s">
        <v>2343</v>
      </c>
      <c r="B596" t="s">
        <v>81</v>
      </c>
      <c r="C596" t="s">
        <v>133</v>
      </c>
      <c r="D596" t="s">
        <v>45</v>
      </c>
      <c r="F596" t="s">
        <v>2369</v>
      </c>
      <c r="G596" t="s">
        <v>1526</v>
      </c>
      <c r="H596" t="s">
        <v>2750</v>
      </c>
      <c r="I596" t="s">
        <v>368</v>
      </c>
      <c r="J596" t="s">
        <v>20</v>
      </c>
      <c r="K596" t="s">
        <v>71</v>
      </c>
      <c r="L596" s="1">
        <v>43415</v>
      </c>
      <c r="M596" s="2">
        <v>601899</v>
      </c>
      <c r="N596" s="2" t="s">
        <v>2950</v>
      </c>
      <c r="O596" t="s">
        <v>41</v>
      </c>
      <c r="P596" t="s">
        <v>21</v>
      </c>
      <c r="Q596" t="s">
        <v>244</v>
      </c>
      <c r="R596">
        <v>7.5</v>
      </c>
      <c r="S596" t="s">
        <v>2953</v>
      </c>
    </row>
    <row r="597" spans="1:19" x14ac:dyDescent="0.3">
      <c r="A597" t="s">
        <v>1538</v>
      </c>
      <c r="B597" t="s">
        <v>269</v>
      </c>
      <c r="C597" t="s">
        <v>516</v>
      </c>
      <c r="D597" t="s">
        <v>45</v>
      </c>
      <c r="E597">
        <v>22</v>
      </c>
      <c r="F597" t="s">
        <v>2945</v>
      </c>
      <c r="G597" t="s">
        <v>1528</v>
      </c>
      <c r="H597" t="s">
        <v>1529</v>
      </c>
      <c r="I597" t="s">
        <v>100</v>
      </c>
      <c r="J597" t="s">
        <v>1248</v>
      </c>
      <c r="K597" t="s">
        <v>71</v>
      </c>
      <c r="L597" s="1">
        <v>44230</v>
      </c>
      <c r="M597" s="2">
        <v>529997</v>
      </c>
      <c r="N597" s="2" t="s">
        <v>2950</v>
      </c>
      <c r="O597" t="s">
        <v>111</v>
      </c>
      <c r="P597" t="s">
        <v>90</v>
      </c>
      <c r="Q597" t="s">
        <v>244</v>
      </c>
      <c r="R597">
        <v>5.3</v>
      </c>
      <c r="S597" t="s">
        <v>2953</v>
      </c>
    </row>
    <row r="598" spans="1:19" x14ac:dyDescent="0.3">
      <c r="A598" t="s">
        <v>1541</v>
      </c>
      <c r="B598" t="s">
        <v>37</v>
      </c>
      <c r="C598" t="s">
        <v>141</v>
      </c>
      <c r="D598" t="s">
        <v>45</v>
      </c>
      <c r="E598">
        <v>31</v>
      </c>
      <c r="F598" t="s">
        <v>2946</v>
      </c>
      <c r="G598" t="s">
        <v>1531</v>
      </c>
      <c r="H598" t="s">
        <v>2751</v>
      </c>
      <c r="I598" t="s">
        <v>368</v>
      </c>
      <c r="J598" t="s">
        <v>455</v>
      </c>
      <c r="K598" t="s">
        <v>48</v>
      </c>
      <c r="L598" s="1">
        <v>42759</v>
      </c>
      <c r="M598" s="2">
        <v>332065</v>
      </c>
      <c r="N598" s="2" t="s">
        <v>2948</v>
      </c>
      <c r="O598" t="s">
        <v>216</v>
      </c>
      <c r="P598" t="s">
        <v>90</v>
      </c>
      <c r="Q598" t="s">
        <v>79</v>
      </c>
      <c r="R598">
        <v>9.3000000000000007</v>
      </c>
      <c r="S598" t="s">
        <v>2951</v>
      </c>
    </row>
    <row r="599" spans="1:19" x14ac:dyDescent="0.3">
      <c r="A599" t="s">
        <v>1543</v>
      </c>
      <c r="B599" t="s">
        <v>555</v>
      </c>
      <c r="C599" t="s">
        <v>516</v>
      </c>
      <c r="D599" t="s">
        <v>45</v>
      </c>
      <c r="E599">
        <v>56</v>
      </c>
      <c r="F599" t="s">
        <v>2947</v>
      </c>
      <c r="G599" t="s">
        <v>1533</v>
      </c>
      <c r="H599" t="s">
        <v>1534</v>
      </c>
      <c r="I599" t="s">
        <v>100</v>
      </c>
      <c r="J599" t="s">
        <v>647</v>
      </c>
      <c r="K599" t="s">
        <v>28</v>
      </c>
      <c r="L599" s="1">
        <v>42343</v>
      </c>
      <c r="M599" s="2">
        <v>417807</v>
      </c>
      <c r="N599" s="2" t="s">
        <v>2948</v>
      </c>
      <c r="O599" t="s">
        <v>130</v>
      </c>
      <c r="P599" t="s">
        <v>353</v>
      </c>
      <c r="Q599" t="s">
        <v>79</v>
      </c>
      <c r="R599">
        <v>10.4</v>
      </c>
      <c r="S599" t="s">
        <v>2951</v>
      </c>
    </row>
    <row r="600" spans="1:19" x14ac:dyDescent="0.3">
      <c r="A600" t="s">
        <v>1545</v>
      </c>
      <c r="B600" t="s">
        <v>98</v>
      </c>
      <c r="C600" t="s">
        <v>213</v>
      </c>
      <c r="D600" t="s">
        <v>24</v>
      </c>
      <c r="E600">
        <v>32</v>
      </c>
      <c r="F600" t="s">
        <v>2946</v>
      </c>
      <c r="G600" t="s">
        <v>1536</v>
      </c>
      <c r="H600" t="s">
        <v>2369</v>
      </c>
      <c r="I600" t="s">
        <v>235</v>
      </c>
      <c r="J600" t="s">
        <v>219</v>
      </c>
      <c r="K600" t="s">
        <v>48</v>
      </c>
      <c r="L600" s="1">
        <v>42949</v>
      </c>
      <c r="M600" s="2">
        <v>694852</v>
      </c>
      <c r="N600" s="2" t="s">
        <v>2950</v>
      </c>
      <c r="O600" t="s">
        <v>198</v>
      </c>
      <c r="P600" t="s">
        <v>21</v>
      </c>
      <c r="Q600" t="s">
        <v>72</v>
      </c>
      <c r="R600">
        <v>8.8000000000000007</v>
      </c>
      <c r="S600" t="s">
        <v>2951</v>
      </c>
    </row>
    <row r="601" spans="1:19" x14ac:dyDescent="0.3">
      <c r="A601" t="s">
        <v>1546</v>
      </c>
      <c r="B601" t="s">
        <v>56</v>
      </c>
      <c r="C601" t="s">
        <v>348</v>
      </c>
      <c r="D601" t="s">
        <v>45</v>
      </c>
      <c r="E601">
        <v>36</v>
      </c>
      <c r="F601" t="s">
        <v>2946</v>
      </c>
      <c r="G601" t="s">
        <v>2382</v>
      </c>
      <c r="H601" t="s">
        <v>1537</v>
      </c>
      <c r="I601" t="s">
        <v>368</v>
      </c>
      <c r="J601" t="s">
        <v>47</v>
      </c>
      <c r="K601" t="s">
        <v>35</v>
      </c>
      <c r="L601" s="1">
        <v>44551</v>
      </c>
      <c r="M601" s="2">
        <v>229554</v>
      </c>
      <c r="N601" s="2" t="s">
        <v>2948</v>
      </c>
      <c r="O601" t="s">
        <v>253</v>
      </c>
      <c r="P601" t="s">
        <v>205</v>
      </c>
      <c r="Q601" t="s">
        <v>79</v>
      </c>
      <c r="R601">
        <v>4.4000000000000004</v>
      </c>
      <c r="S601" t="s">
        <v>2952</v>
      </c>
    </row>
    <row r="602" spans="1:19" x14ac:dyDescent="0.3">
      <c r="A602" t="s">
        <v>2344</v>
      </c>
      <c r="B602" t="s">
        <v>97</v>
      </c>
      <c r="C602" t="s">
        <v>104</v>
      </c>
      <c r="D602" t="s">
        <v>45</v>
      </c>
      <c r="E602">
        <v>42</v>
      </c>
      <c r="F602" t="s">
        <v>2946</v>
      </c>
      <c r="G602" t="s">
        <v>1539</v>
      </c>
      <c r="H602" t="s">
        <v>2369</v>
      </c>
      <c r="I602" t="s">
        <v>209</v>
      </c>
      <c r="J602" t="s">
        <v>1540</v>
      </c>
      <c r="K602" t="s">
        <v>48</v>
      </c>
      <c r="L602" s="1">
        <v>42359</v>
      </c>
      <c r="M602" s="2">
        <v>814310</v>
      </c>
      <c r="N602" s="2" t="s">
        <v>2950</v>
      </c>
      <c r="O602" t="s">
        <v>41</v>
      </c>
      <c r="P602" t="s">
        <v>21</v>
      </c>
      <c r="Q602" t="s">
        <v>244</v>
      </c>
      <c r="R602">
        <v>10.4</v>
      </c>
      <c r="S602" t="s">
        <v>2951</v>
      </c>
    </row>
    <row r="603" spans="1:19" x14ac:dyDescent="0.3">
      <c r="A603" t="s">
        <v>1549</v>
      </c>
      <c r="B603" t="s">
        <v>124</v>
      </c>
      <c r="C603" t="s">
        <v>336</v>
      </c>
      <c r="D603" t="s">
        <v>24</v>
      </c>
      <c r="E603">
        <v>37</v>
      </c>
      <c r="F603" t="s">
        <v>2946</v>
      </c>
      <c r="G603" t="s">
        <v>1542</v>
      </c>
      <c r="H603" t="s">
        <v>2369</v>
      </c>
      <c r="I603" t="s">
        <v>394</v>
      </c>
      <c r="J603" t="s">
        <v>195</v>
      </c>
      <c r="K603" t="s">
        <v>35</v>
      </c>
      <c r="L603" s="1">
        <v>42169</v>
      </c>
      <c r="M603" s="2">
        <v>110322</v>
      </c>
      <c r="N603" s="2" t="s">
        <v>2949</v>
      </c>
      <c r="O603" t="s">
        <v>111</v>
      </c>
      <c r="P603" t="s">
        <v>90</v>
      </c>
      <c r="Q603" t="s">
        <v>72</v>
      </c>
      <c r="R603">
        <v>10.9</v>
      </c>
      <c r="S603" t="s">
        <v>2951</v>
      </c>
    </row>
    <row r="604" spans="1:19" x14ac:dyDescent="0.3">
      <c r="A604" t="s">
        <v>1551</v>
      </c>
      <c r="B604" t="s">
        <v>145</v>
      </c>
      <c r="C604" t="s">
        <v>516</v>
      </c>
      <c r="D604" t="s">
        <v>45</v>
      </c>
      <c r="E604">
        <v>33</v>
      </c>
      <c r="F604" t="s">
        <v>2946</v>
      </c>
      <c r="G604" t="s">
        <v>1544</v>
      </c>
      <c r="H604" t="s">
        <v>2752</v>
      </c>
      <c r="I604" t="s">
        <v>100</v>
      </c>
      <c r="J604" t="s">
        <v>173</v>
      </c>
      <c r="K604" t="s">
        <v>71</v>
      </c>
      <c r="L604" s="1">
        <v>43614</v>
      </c>
      <c r="M604" s="2">
        <v>387061</v>
      </c>
      <c r="N604" s="2" t="s">
        <v>2948</v>
      </c>
      <c r="O604" t="s">
        <v>198</v>
      </c>
      <c r="P604" t="s">
        <v>90</v>
      </c>
      <c r="Q604" t="s">
        <v>244</v>
      </c>
      <c r="R604">
        <v>7</v>
      </c>
      <c r="S604" t="s">
        <v>2953</v>
      </c>
    </row>
    <row r="605" spans="1:19" x14ac:dyDescent="0.3">
      <c r="A605" t="s">
        <v>1553</v>
      </c>
      <c r="B605" t="s">
        <v>281</v>
      </c>
      <c r="C605" t="s">
        <v>161</v>
      </c>
      <c r="D605" t="s">
        <v>45</v>
      </c>
      <c r="E605">
        <v>56</v>
      </c>
      <c r="F605" t="s">
        <v>2947</v>
      </c>
      <c r="G605" t="s">
        <v>2383</v>
      </c>
      <c r="H605" t="s">
        <v>2369</v>
      </c>
      <c r="I605" t="s">
        <v>100</v>
      </c>
      <c r="J605" t="s">
        <v>173</v>
      </c>
      <c r="K605" t="s">
        <v>71</v>
      </c>
      <c r="L605" s="1">
        <v>43344</v>
      </c>
      <c r="M605" s="2">
        <v>481685</v>
      </c>
      <c r="N605" s="2" t="s">
        <v>2948</v>
      </c>
      <c r="O605" t="s">
        <v>130</v>
      </c>
      <c r="P605" t="s">
        <v>21</v>
      </c>
      <c r="Q605" t="s">
        <v>244</v>
      </c>
      <c r="R605">
        <v>7.7</v>
      </c>
      <c r="S605" t="s">
        <v>2953</v>
      </c>
    </row>
    <row r="606" spans="1:19" x14ac:dyDescent="0.3">
      <c r="A606" t="s">
        <v>1555</v>
      </c>
      <c r="B606" t="s">
        <v>98</v>
      </c>
      <c r="C606" t="s">
        <v>31</v>
      </c>
      <c r="D606" t="s">
        <v>24</v>
      </c>
      <c r="E606">
        <v>29</v>
      </c>
      <c r="F606" t="s">
        <v>2945</v>
      </c>
      <c r="G606" t="s">
        <v>1547</v>
      </c>
      <c r="H606" t="s">
        <v>2369</v>
      </c>
      <c r="I606" t="s">
        <v>209</v>
      </c>
      <c r="K606" t="s">
        <v>28</v>
      </c>
      <c r="L606" s="1">
        <v>42565</v>
      </c>
      <c r="M606" s="2">
        <v>471727</v>
      </c>
      <c r="N606" s="2" t="s">
        <v>2948</v>
      </c>
      <c r="O606" t="s">
        <v>111</v>
      </c>
      <c r="P606" t="s">
        <v>152</v>
      </c>
      <c r="Q606" t="s">
        <v>79</v>
      </c>
      <c r="R606">
        <v>9.8000000000000007</v>
      </c>
      <c r="S606" t="s">
        <v>2951</v>
      </c>
    </row>
    <row r="607" spans="1:19" x14ac:dyDescent="0.3">
      <c r="A607" t="s">
        <v>1557</v>
      </c>
      <c r="B607" t="s">
        <v>233</v>
      </c>
      <c r="C607" t="s">
        <v>86</v>
      </c>
      <c r="D607" t="s">
        <v>24</v>
      </c>
      <c r="E607">
        <v>31</v>
      </c>
      <c r="F607" t="s">
        <v>2946</v>
      </c>
      <c r="G607" t="s">
        <v>1548</v>
      </c>
      <c r="H607" t="s">
        <v>2369</v>
      </c>
      <c r="I607" t="s">
        <v>235</v>
      </c>
      <c r="J607" t="s">
        <v>59</v>
      </c>
      <c r="K607" t="s">
        <v>48</v>
      </c>
      <c r="L607" s="1">
        <v>42073</v>
      </c>
      <c r="N607" s="2" t="s">
        <v>2369</v>
      </c>
      <c r="O607" t="s">
        <v>216</v>
      </c>
      <c r="P607" t="s">
        <v>353</v>
      </c>
      <c r="Q607" t="s">
        <v>72</v>
      </c>
      <c r="R607">
        <v>10.6</v>
      </c>
      <c r="S607" t="s">
        <v>2951</v>
      </c>
    </row>
    <row r="608" spans="1:19" x14ac:dyDescent="0.3">
      <c r="A608" t="s">
        <v>1559</v>
      </c>
      <c r="B608" t="s">
        <v>281</v>
      </c>
      <c r="C608" t="s">
        <v>318</v>
      </c>
      <c r="D608" t="s">
        <v>24</v>
      </c>
      <c r="E608">
        <v>34</v>
      </c>
      <c r="F608" t="s">
        <v>2946</v>
      </c>
      <c r="G608" t="s">
        <v>1550</v>
      </c>
      <c r="H608" t="s">
        <v>2369</v>
      </c>
      <c r="I608" t="s">
        <v>209</v>
      </c>
      <c r="J608" t="s">
        <v>607</v>
      </c>
      <c r="K608" t="s">
        <v>71</v>
      </c>
      <c r="L608" s="1">
        <v>42217</v>
      </c>
      <c r="M608" s="2">
        <v>199248</v>
      </c>
      <c r="N608" s="2" t="s">
        <v>2949</v>
      </c>
      <c r="O608" t="s">
        <v>130</v>
      </c>
      <c r="P608" t="s">
        <v>152</v>
      </c>
      <c r="Q608" t="s">
        <v>72</v>
      </c>
      <c r="R608">
        <v>10.8</v>
      </c>
      <c r="S608" t="s">
        <v>2951</v>
      </c>
    </row>
    <row r="609" spans="1:19" x14ac:dyDescent="0.3">
      <c r="A609" t="s">
        <v>1561</v>
      </c>
      <c r="B609" t="s">
        <v>259</v>
      </c>
      <c r="C609" t="s">
        <v>176</v>
      </c>
      <c r="D609" t="s">
        <v>24</v>
      </c>
      <c r="E609">
        <v>54</v>
      </c>
      <c r="F609" t="s">
        <v>2947</v>
      </c>
      <c r="G609" t="s">
        <v>1552</v>
      </c>
      <c r="H609" t="s">
        <v>2753</v>
      </c>
      <c r="I609" t="s">
        <v>53</v>
      </c>
      <c r="J609" t="s">
        <v>779</v>
      </c>
      <c r="K609" t="s">
        <v>28</v>
      </c>
      <c r="L609" s="1">
        <v>42427</v>
      </c>
      <c r="M609" s="2">
        <v>367771</v>
      </c>
      <c r="N609" s="2" t="s">
        <v>2948</v>
      </c>
      <c r="O609" t="s">
        <v>130</v>
      </c>
      <c r="P609" t="s">
        <v>152</v>
      </c>
      <c r="Q609" t="s">
        <v>244</v>
      </c>
      <c r="R609">
        <v>10.199999999999999</v>
      </c>
      <c r="S609" t="s">
        <v>2951</v>
      </c>
    </row>
    <row r="610" spans="1:19" x14ac:dyDescent="0.3">
      <c r="A610" t="s">
        <v>1562</v>
      </c>
      <c r="B610" t="s">
        <v>141</v>
      </c>
      <c r="C610" t="s">
        <v>237</v>
      </c>
      <c r="D610" t="s">
        <v>24</v>
      </c>
      <c r="E610">
        <v>52</v>
      </c>
      <c r="F610" t="s">
        <v>2947</v>
      </c>
      <c r="G610" t="s">
        <v>1554</v>
      </c>
      <c r="H610" t="s">
        <v>2754</v>
      </c>
      <c r="I610" t="s">
        <v>592</v>
      </c>
      <c r="J610" t="s">
        <v>593</v>
      </c>
      <c r="K610" t="s">
        <v>71</v>
      </c>
      <c r="M610" s="2">
        <v>679037</v>
      </c>
      <c r="N610" s="2" t="s">
        <v>2950</v>
      </c>
      <c r="O610" t="s">
        <v>111</v>
      </c>
      <c r="P610" t="s">
        <v>90</v>
      </c>
      <c r="Q610" t="s">
        <v>65</v>
      </c>
      <c r="R610">
        <v>5</v>
      </c>
      <c r="S610" t="s">
        <v>2952</v>
      </c>
    </row>
    <row r="611" spans="1:19" x14ac:dyDescent="0.3">
      <c r="A611" t="s">
        <v>1564</v>
      </c>
      <c r="B611" t="s">
        <v>85</v>
      </c>
      <c r="C611" t="s">
        <v>98</v>
      </c>
      <c r="D611" t="s">
        <v>24</v>
      </c>
      <c r="E611">
        <v>43</v>
      </c>
      <c r="F611" t="s">
        <v>2946</v>
      </c>
      <c r="G611" t="s">
        <v>1556</v>
      </c>
      <c r="H611" t="s">
        <v>2755</v>
      </c>
      <c r="I611" t="s">
        <v>517</v>
      </c>
      <c r="J611" t="s">
        <v>295</v>
      </c>
      <c r="K611" t="s">
        <v>71</v>
      </c>
      <c r="M611" s="2">
        <v>149767</v>
      </c>
      <c r="N611" s="2" t="s">
        <v>2949</v>
      </c>
      <c r="O611" t="s">
        <v>130</v>
      </c>
      <c r="P611" t="s">
        <v>152</v>
      </c>
      <c r="Q611" t="s">
        <v>72</v>
      </c>
      <c r="R611">
        <v>10.9</v>
      </c>
      <c r="S611" t="s">
        <v>2951</v>
      </c>
    </row>
    <row r="612" spans="1:19" x14ac:dyDescent="0.3">
      <c r="A612" t="s">
        <v>1566</v>
      </c>
      <c r="B612" t="s">
        <v>340</v>
      </c>
      <c r="C612" t="s">
        <v>114</v>
      </c>
      <c r="D612" t="s">
        <v>45</v>
      </c>
      <c r="E612">
        <v>51</v>
      </c>
      <c r="F612" t="s">
        <v>2947</v>
      </c>
      <c r="G612" t="s">
        <v>1558</v>
      </c>
      <c r="H612" t="s">
        <v>2756</v>
      </c>
      <c r="I612" t="s">
        <v>209</v>
      </c>
      <c r="J612" t="s">
        <v>210</v>
      </c>
      <c r="K612" t="s">
        <v>48</v>
      </c>
      <c r="L612" s="1">
        <v>44962</v>
      </c>
      <c r="M612" s="2">
        <v>88360</v>
      </c>
      <c r="N612" s="2" t="s">
        <v>2949</v>
      </c>
      <c r="O612" t="s">
        <v>111</v>
      </c>
      <c r="P612" t="s">
        <v>152</v>
      </c>
      <c r="Q612" t="s">
        <v>79</v>
      </c>
      <c r="R612">
        <v>3.3</v>
      </c>
      <c r="S612" t="s">
        <v>2952</v>
      </c>
    </row>
    <row r="613" spans="1:19" x14ac:dyDescent="0.3">
      <c r="A613" t="s">
        <v>1567</v>
      </c>
      <c r="B613" t="s">
        <v>286</v>
      </c>
      <c r="C613" t="s">
        <v>146</v>
      </c>
      <c r="D613" t="s">
        <v>24</v>
      </c>
      <c r="E613">
        <v>52</v>
      </c>
      <c r="F613" t="s">
        <v>2947</v>
      </c>
      <c r="G613" t="s">
        <v>1560</v>
      </c>
      <c r="H613" t="s">
        <v>2757</v>
      </c>
      <c r="I613" t="s">
        <v>271</v>
      </c>
      <c r="J613" t="s">
        <v>1330</v>
      </c>
      <c r="K613" t="s">
        <v>28</v>
      </c>
      <c r="L613" s="1">
        <v>42497</v>
      </c>
      <c r="M613" s="2">
        <v>790783</v>
      </c>
      <c r="N613" s="2" t="s">
        <v>2950</v>
      </c>
      <c r="O613" t="s">
        <v>216</v>
      </c>
      <c r="P613" t="s">
        <v>152</v>
      </c>
      <c r="Q613" t="s">
        <v>65</v>
      </c>
      <c r="R613">
        <v>10</v>
      </c>
      <c r="S613" t="s">
        <v>2951</v>
      </c>
    </row>
    <row r="614" spans="1:19" x14ac:dyDescent="0.3">
      <c r="A614" t="s">
        <v>1570</v>
      </c>
      <c r="B614" t="s">
        <v>92</v>
      </c>
      <c r="C614" t="s">
        <v>277</v>
      </c>
      <c r="D614" t="s">
        <v>24</v>
      </c>
      <c r="E614">
        <v>52</v>
      </c>
      <c r="F614" t="s">
        <v>2947</v>
      </c>
      <c r="G614" t="s">
        <v>2447</v>
      </c>
      <c r="H614" t="s">
        <v>2758</v>
      </c>
      <c r="I614" t="s">
        <v>517</v>
      </c>
      <c r="J614" t="s">
        <v>635</v>
      </c>
      <c r="K614" t="s">
        <v>35</v>
      </c>
      <c r="L614" s="1">
        <v>44844</v>
      </c>
      <c r="M614" s="2">
        <v>378334</v>
      </c>
      <c r="N614" s="2" t="s">
        <v>2948</v>
      </c>
      <c r="O614" t="s">
        <v>253</v>
      </c>
      <c r="P614" t="s">
        <v>21</v>
      </c>
      <c r="Q614" t="s">
        <v>65</v>
      </c>
      <c r="R614">
        <v>3.6</v>
      </c>
      <c r="S614" t="s">
        <v>2952</v>
      </c>
    </row>
    <row r="615" spans="1:19" x14ac:dyDescent="0.3">
      <c r="A615" t="s">
        <v>1573</v>
      </c>
      <c r="B615" t="s">
        <v>85</v>
      </c>
      <c r="C615" t="s">
        <v>362</v>
      </c>
      <c r="D615" t="s">
        <v>24</v>
      </c>
      <c r="F615" t="s">
        <v>2369</v>
      </c>
      <c r="G615" t="s">
        <v>1563</v>
      </c>
      <c r="H615" t="s">
        <v>2369</v>
      </c>
      <c r="I615" t="s">
        <v>209</v>
      </c>
      <c r="J615" t="s">
        <v>292</v>
      </c>
      <c r="K615" t="s">
        <v>48</v>
      </c>
      <c r="L615" s="1">
        <v>44340</v>
      </c>
      <c r="M615" s="2">
        <v>175724</v>
      </c>
      <c r="N615" s="2" t="s">
        <v>2949</v>
      </c>
      <c r="O615" t="s">
        <v>111</v>
      </c>
      <c r="P615" t="s">
        <v>205</v>
      </c>
      <c r="Q615" t="s">
        <v>158</v>
      </c>
      <c r="R615">
        <v>5</v>
      </c>
      <c r="S615" t="s">
        <v>2952</v>
      </c>
    </row>
    <row r="616" spans="1:19" x14ac:dyDescent="0.3">
      <c r="A616" t="s">
        <v>1574</v>
      </c>
      <c r="B616" t="s">
        <v>103</v>
      </c>
      <c r="C616" t="s">
        <v>104</v>
      </c>
      <c r="D616" t="s">
        <v>45</v>
      </c>
      <c r="E616">
        <v>31</v>
      </c>
      <c r="F616" t="s">
        <v>2946</v>
      </c>
      <c r="G616" t="s">
        <v>1565</v>
      </c>
      <c r="H616" t="s">
        <v>2759</v>
      </c>
      <c r="I616" t="s">
        <v>53</v>
      </c>
      <c r="J616" t="s">
        <v>659</v>
      </c>
      <c r="K616" t="s">
        <v>48</v>
      </c>
      <c r="L616" s="1">
        <v>43151</v>
      </c>
      <c r="M616" s="2">
        <v>298598</v>
      </c>
      <c r="N616" s="2" t="s">
        <v>2948</v>
      </c>
      <c r="O616" t="s">
        <v>130</v>
      </c>
      <c r="P616" t="s">
        <v>90</v>
      </c>
      <c r="Q616" t="s">
        <v>244</v>
      </c>
      <c r="R616">
        <v>8.1999999999999993</v>
      </c>
      <c r="S616" t="s">
        <v>2951</v>
      </c>
    </row>
    <row r="617" spans="1:19" x14ac:dyDescent="0.3">
      <c r="A617" t="s">
        <v>1576</v>
      </c>
      <c r="B617" t="s">
        <v>259</v>
      </c>
      <c r="C617" t="s">
        <v>114</v>
      </c>
      <c r="D617" t="s">
        <v>45</v>
      </c>
      <c r="E617">
        <v>25</v>
      </c>
      <c r="F617" t="s">
        <v>2945</v>
      </c>
      <c r="G617" t="s">
        <v>2448</v>
      </c>
      <c r="H617" t="s">
        <v>2369</v>
      </c>
      <c r="I617" t="s">
        <v>209</v>
      </c>
      <c r="J617" t="s">
        <v>210</v>
      </c>
      <c r="K617" t="s">
        <v>71</v>
      </c>
      <c r="L617" s="1">
        <v>44564</v>
      </c>
      <c r="N617" s="2" t="s">
        <v>2369</v>
      </c>
      <c r="O617" t="s">
        <v>216</v>
      </c>
      <c r="P617" t="s">
        <v>353</v>
      </c>
      <c r="Q617" t="s">
        <v>72</v>
      </c>
      <c r="R617">
        <v>4.4000000000000004</v>
      </c>
      <c r="S617" t="s">
        <v>2952</v>
      </c>
    </row>
    <row r="618" spans="1:19" x14ac:dyDescent="0.3">
      <c r="A618" t="s">
        <v>1578</v>
      </c>
      <c r="B618" t="s">
        <v>119</v>
      </c>
      <c r="C618" t="s">
        <v>93</v>
      </c>
      <c r="D618" t="s">
        <v>24</v>
      </c>
      <c r="E618">
        <v>53</v>
      </c>
      <c r="F618" t="s">
        <v>2947</v>
      </c>
      <c r="G618" t="s">
        <v>1568</v>
      </c>
      <c r="H618" t="s">
        <v>1569</v>
      </c>
      <c r="I618" t="s">
        <v>235</v>
      </c>
      <c r="J618" t="s">
        <v>219</v>
      </c>
      <c r="K618" t="s">
        <v>35</v>
      </c>
      <c r="L618" s="1">
        <v>44515</v>
      </c>
      <c r="M618" s="2">
        <v>533666</v>
      </c>
      <c r="N618" s="2" t="s">
        <v>2950</v>
      </c>
      <c r="O618" t="s">
        <v>216</v>
      </c>
      <c r="P618" t="s">
        <v>90</v>
      </c>
      <c r="Q618" t="s">
        <v>244</v>
      </c>
      <c r="R618">
        <v>4.5</v>
      </c>
      <c r="S618" t="s">
        <v>2952</v>
      </c>
    </row>
    <row r="619" spans="1:19" x14ac:dyDescent="0.3">
      <c r="A619" t="s">
        <v>1580</v>
      </c>
      <c r="B619" t="s">
        <v>98</v>
      </c>
      <c r="C619" t="s">
        <v>104</v>
      </c>
      <c r="D619" t="s">
        <v>45</v>
      </c>
      <c r="E619">
        <v>51</v>
      </c>
      <c r="F619" t="s">
        <v>2947</v>
      </c>
      <c r="G619" t="s">
        <v>1571</v>
      </c>
      <c r="H619" t="s">
        <v>1572</v>
      </c>
      <c r="I619" t="s">
        <v>271</v>
      </c>
      <c r="J619" t="s">
        <v>1330</v>
      </c>
      <c r="K619" t="s">
        <v>71</v>
      </c>
      <c r="L619" s="1">
        <v>44625</v>
      </c>
      <c r="M619" s="2">
        <v>249308</v>
      </c>
      <c r="N619" s="2" t="s">
        <v>2948</v>
      </c>
      <c r="O619" t="s">
        <v>216</v>
      </c>
      <c r="P619" t="s">
        <v>205</v>
      </c>
      <c r="Q619" t="s">
        <v>72</v>
      </c>
      <c r="R619">
        <v>4.2</v>
      </c>
      <c r="S619" t="s">
        <v>2952</v>
      </c>
    </row>
    <row r="620" spans="1:19" x14ac:dyDescent="0.3">
      <c r="A620" t="s">
        <v>1582</v>
      </c>
      <c r="B620" t="s">
        <v>56</v>
      </c>
      <c r="C620" t="s">
        <v>31</v>
      </c>
      <c r="D620" t="s">
        <v>24</v>
      </c>
      <c r="E620">
        <v>57</v>
      </c>
      <c r="F620" t="s">
        <v>2947</v>
      </c>
      <c r="G620" t="s">
        <v>2449</v>
      </c>
      <c r="H620" t="s">
        <v>2369</v>
      </c>
      <c r="I620" t="s">
        <v>592</v>
      </c>
      <c r="J620" t="s">
        <v>110</v>
      </c>
      <c r="K620" t="s">
        <v>35</v>
      </c>
      <c r="L620" s="1">
        <v>44253</v>
      </c>
      <c r="M620" s="2">
        <v>277091</v>
      </c>
      <c r="N620" s="2" t="s">
        <v>2948</v>
      </c>
      <c r="O620" t="s">
        <v>111</v>
      </c>
      <c r="P620" t="s">
        <v>205</v>
      </c>
      <c r="Q620" t="s">
        <v>244</v>
      </c>
      <c r="R620">
        <v>5.2</v>
      </c>
      <c r="S620" t="s">
        <v>2953</v>
      </c>
    </row>
    <row r="621" spans="1:19" x14ac:dyDescent="0.3">
      <c r="A621" t="s">
        <v>1584</v>
      </c>
      <c r="B621" t="s">
        <v>233</v>
      </c>
      <c r="C621" t="s">
        <v>50</v>
      </c>
      <c r="D621" t="s">
        <v>24</v>
      </c>
      <c r="E621">
        <v>51</v>
      </c>
      <c r="F621" t="s">
        <v>2947</v>
      </c>
      <c r="G621" t="s">
        <v>1575</v>
      </c>
      <c r="H621" t="s">
        <v>2760</v>
      </c>
      <c r="I621" t="s">
        <v>53</v>
      </c>
      <c r="J621" t="s">
        <v>373</v>
      </c>
      <c r="K621" t="s">
        <v>71</v>
      </c>
      <c r="L621" s="1">
        <v>44017</v>
      </c>
      <c r="M621" s="2">
        <v>446562</v>
      </c>
      <c r="N621" s="2" t="s">
        <v>2948</v>
      </c>
      <c r="O621" t="s">
        <v>111</v>
      </c>
      <c r="P621" t="s">
        <v>353</v>
      </c>
      <c r="Q621" t="s">
        <v>158</v>
      </c>
      <c r="R621">
        <v>5.9</v>
      </c>
      <c r="S621" t="s">
        <v>2953</v>
      </c>
    </row>
    <row r="622" spans="1:19" x14ac:dyDescent="0.3">
      <c r="A622" t="s">
        <v>2345</v>
      </c>
      <c r="B622" t="s">
        <v>190</v>
      </c>
      <c r="C622" t="s">
        <v>155</v>
      </c>
      <c r="D622" t="s">
        <v>24</v>
      </c>
      <c r="E622">
        <v>49</v>
      </c>
      <c r="F622" t="s">
        <v>2947</v>
      </c>
      <c r="G622" t="s">
        <v>1577</v>
      </c>
      <c r="H622" t="s">
        <v>2369</v>
      </c>
      <c r="I622" t="s">
        <v>394</v>
      </c>
      <c r="J622" t="s">
        <v>627</v>
      </c>
      <c r="K622" t="s">
        <v>28</v>
      </c>
      <c r="L622" s="1">
        <v>43581</v>
      </c>
      <c r="M622" s="2">
        <v>762841</v>
      </c>
      <c r="N622" s="2" t="s">
        <v>2950</v>
      </c>
      <c r="O622" t="s">
        <v>111</v>
      </c>
      <c r="P622" t="s">
        <v>353</v>
      </c>
      <c r="Q622" t="s">
        <v>158</v>
      </c>
      <c r="R622">
        <v>7.1</v>
      </c>
      <c r="S622" t="s">
        <v>2953</v>
      </c>
    </row>
    <row r="623" spans="1:19" x14ac:dyDescent="0.3">
      <c r="A623" t="s">
        <v>1586</v>
      </c>
      <c r="B623" t="s">
        <v>175</v>
      </c>
      <c r="C623" t="s">
        <v>176</v>
      </c>
      <c r="D623" t="s">
        <v>24</v>
      </c>
      <c r="E623">
        <v>36</v>
      </c>
      <c r="F623" t="s">
        <v>2946</v>
      </c>
      <c r="G623" t="s">
        <v>1579</v>
      </c>
      <c r="H623" t="s">
        <v>2369</v>
      </c>
      <c r="I623" t="s">
        <v>394</v>
      </c>
      <c r="J623" t="s">
        <v>883</v>
      </c>
      <c r="K623" t="s">
        <v>35</v>
      </c>
      <c r="L623" s="1">
        <v>43220</v>
      </c>
      <c r="M623" s="2">
        <v>668842</v>
      </c>
      <c r="N623" s="2" t="s">
        <v>2950</v>
      </c>
      <c r="O623" t="s">
        <v>253</v>
      </c>
      <c r="P623" t="s">
        <v>21</v>
      </c>
      <c r="Q623" t="s">
        <v>72</v>
      </c>
      <c r="R623">
        <v>8</v>
      </c>
      <c r="S623" t="s">
        <v>2953</v>
      </c>
    </row>
    <row r="624" spans="1:19" x14ac:dyDescent="0.3">
      <c r="A624" t="s">
        <v>1588</v>
      </c>
      <c r="B624" t="s">
        <v>98</v>
      </c>
      <c r="C624" t="s">
        <v>104</v>
      </c>
      <c r="D624" t="s">
        <v>24</v>
      </c>
      <c r="E624">
        <v>24</v>
      </c>
      <c r="F624" t="s">
        <v>2945</v>
      </c>
      <c r="G624" t="s">
        <v>1581</v>
      </c>
      <c r="H624" t="s">
        <v>2369</v>
      </c>
      <c r="I624" t="s">
        <v>394</v>
      </c>
      <c r="J624" t="s">
        <v>519</v>
      </c>
      <c r="K624" t="s">
        <v>48</v>
      </c>
      <c r="L624" s="1">
        <v>42249</v>
      </c>
      <c r="M624" s="2">
        <v>458722</v>
      </c>
      <c r="N624" s="2" t="s">
        <v>2948</v>
      </c>
      <c r="O624" t="s">
        <v>253</v>
      </c>
      <c r="P624" t="s">
        <v>152</v>
      </c>
      <c r="Q624" t="s">
        <v>158</v>
      </c>
      <c r="R624">
        <v>10.7</v>
      </c>
      <c r="S624" t="s">
        <v>2951</v>
      </c>
    </row>
    <row r="625" spans="1:19" x14ac:dyDescent="0.3">
      <c r="A625" t="s">
        <v>1590</v>
      </c>
      <c r="B625" t="s">
        <v>17</v>
      </c>
      <c r="C625" t="s">
        <v>277</v>
      </c>
      <c r="D625" t="s">
        <v>45</v>
      </c>
      <c r="E625">
        <v>57</v>
      </c>
      <c r="F625" t="s">
        <v>2947</v>
      </c>
      <c r="G625" t="s">
        <v>1583</v>
      </c>
      <c r="H625" t="s">
        <v>2761</v>
      </c>
      <c r="I625" t="s">
        <v>394</v>
      </c>
      <c r="J625" t="s">
        <v>195</v>
      </c>
      <c r="K625" t="s">
        <v>35</v>
      </c>
      <c r="L625" s="1">
        <v>44699</v>
      </c>
      <c r="M625" s="2">
        <v>273977</v>
      </c>
      <c r="N625" s="2" t="s">
        <v>2948</v>
      </c>
      <c r="O625" t="s">
        <v>130</v>
      </c>
      <c r="P625" t="s">
        <v>21</v>
      </c>
      <c r="Q625" t="s">
        <v>79</v>
      </c>
      <c r="R625">
        <v>4</v>
      </c>
      <c r="S625" t="s">
        <v>2952</v>
      </c>
    </row>
    <row r="626" spans="1:19" x14ac:dyDescent="0.3">
      <c r="A626" t="s">
        <v>1593</v>
      </c>
      <c r="B626" t="s">
        <v>348</v>
      </c>
      <c r="C626" t="s">
        <v>133</v>
      </c>
      <c r="D626" t="s">
        <v>24</v>
      </c>
      <c r="E626">
        <v>44</v>
      </c>
      <c r="F626" t="s">
        <v>2946</v>
      </c>
      <c r="G626" t="s">
        <v>1585</v>
      </c>
      <c r="H626" t="s">
        <v>2762</v>
      </c>
      <c r="I626" t="s">
        <v>53</v>
      </c>
      <c r="J626" t="s">
        <v>1028</v>
      </c>
      <c r="K626" t="s">
        <v>28</v>
      </c>
      <c r="L626" s="1">
        <v>44933</v>
      </c>
      <c r="M626" s="2">
        <v>789778</v>
      </c>
      <c r="N626" s="2" t="s">
        <v>2950</v>
      </c>
      <c r="O626" t="s">
        <v>130</v>
      </c>
      <c r="P626" t="s">
        <v>90</v>
      </c>
      <c r="Q626" t="s">
        <v>72</v>
      </c>
      <c r="R626">
        <v>3.4</v>
      </c>
      <c r="S626" t="s">
        <v>2952</v>
      </c>
    </row>
    <row r="627" spans="1:19" x14ac:dyDescent="0.3">
      <c r="A627" t="s">
        <v>1596</v>
      </c>
      <c r="B627" t="s">
        <v>141</v>
      </c>
      <c r="C627" t="s">
        <v>475</v>
      </c>
      <c r="D627" t="s">
        <v>24</v>
      </c>
      <c r="E627">
        <v>49</v>
      </c>
      <c r="F627" t="s">
        <v>2947</v>
      </c>
      <c r="G627" t="s">
        <v>2369</v>
      </c>
      <c r="H627" t="s">
        <v>2763</v>
      </c>
      <c r="I627" t="s">
        <v>592</v>
      </c>
      <c r="J627" t="s">
        <v>1051</v>
      </c>
      <c r="K627" t="s">
        <v>35</v>
      </c>
      <c r="L627" s="1">
        <v>42420</v>
      </c>
      <c r="M627" s="2">
        <v>262242</v>
      </c>
      <c r="N627" s="2" t="s">
        <v>2948</v>
      </c>
      <c r="O627" t="s">
        <v>111</v>
      </c>
      <c r="P627" t="s">
        <v>205</v>
      </c>
      <c r="Q627" t="s">
        <v>79</v>
      </c>
      <c r="R627">
        <v>10.199999999999999</v>
      </c>
      <c r="S627" t="s">
        <v>2951</v>
      </c>
    </row>
    <row r="628" spans="1:19" x14ac:dyDescent="0.3">
      <c r="A628" t="s">
        <v>1599</v>
      </c>
      <c r="B628" t="s">
        <v>207</v>
      </c>
      <c r="C628" t="s">
        <v>237</v>
      </c>
      <c r="D628" t="s">
        <v>45</v>
      </c>
      <c r="F628" t="s">
        <v>2369</v>
      </c>
      <c r="G628" t="s">
        <v>1587</v>
      </c>
      <c r="H628" t="s">
        <v>2369</v>
      </c>
      <c r="I628" t="s">
        <v>53</v>
      </c>
      <c r="J628" t="s">
        <v>54</v>
      </c>
      <c r="K628" t="s">
        <v>28</v>
      </c>
      <c r="L628" s="1">
        <v>43268</v>
      </c>
      <c r="M628" s="2">
        <v>606470</v>
      </c>
      <c r="N628" s="2" t="s">
        <v>2950</v>
      </c>
      <c r="O628" t="s">
        <v>130</v>
      </c>
      <c r="P628" t="s">
        <v>205</v>
      </c>
      <c r="Q628" t="s">
        <v>244</v>
      </c>
      <c r="R628">
        <v>7.9</v>
      </c>
      <c r="S628" t="s">
        <v>2953</v>
      </c>
    </row>
    <row r="629" spans="1:19" x14ac:dyDescent="0.3">
      <c r="A629" t="s">
        <v>1601</v>
      </c>
      <c r="B629" t="s">
        <v>81</v>
      </c>
      <c r="C629" t="s">
        <v>287</v>
      </c>
      <c r="D629" t="s">
        <v>24</v>
      </c>
      <c r="E629">
        <v>32</v>
      </c>
      <c r="F629" t="s">
        <v>2946</v>
      </c>
      <c r="G629" t="s">
        <v>1589</v>
      </c>
      <c r="H629" t="s">
        <v>2369</v>
      </c>
      <c r="I629" t="s">
        <v>235</v>
      </c>
      <c r="J629" t="s">
        <v>338</v>
      </c>
      <c r="K629" t="s">
        <v>35</v>
      </c>
      <c r="L629" s="1">
        <v>42161</v>
      </c>
      <c r="M629" s="2">
        <v>798983</v>
      </c>
      <c r="N629" s="2" t="s">
        <v>2950</v>
      </c>
      <c r="O629" t="s">
        <v>41</v>
      </c>
      <c r="P629" t="s">
        <v>205</v>
      </c>
      <c r="Q629" t="s">
        <v>65</v>
      </c>
      <c r="R629">
        <v>10.9</v>
      </c>
      <c r="S629" t="s">
        <v>2951</v>
      </c>
    </row>
    <row r="630" spans="1:19" x14ac:dyDescent="0.3">
      <c r="A630" t="s">
        <v>1604</v>
      </c>
      <c r="B630" t="s">
        <v>412</v>
      </c>
      <c r="C630" t="s">
        <v>86</v>
      </c>
      <c r="D630" t="s">
        <v>24</v>
      </c>
      <c r="E630">
        <v>30</v>
      </c>
      <c r="F630" t="s">
        <v>2945</v>
      </c>
      <c r="G630" t="s">
        <v>1591</v>
      </c>
      <c r="H630" t="s">
        <v>1592</v>
      </c>
      <c r="I630" t="s">
        <v>517</v>
      </c>
      <c r="J630" t="s">
        <v>1183</v>
      </c>
      <c r="K630" t="s">
        <v>28</v>
      </c>
      <c r="L630" s="1">
        <v>42115</v>
      </c>
      <c r="M630" s="2">
        <v>456422</v>
      </c>
      <c r="N630" s="2" t="s">
        <v>2948</v>
      </c>
      <c r="O630" t="s">
        <v>111</v>
      </c>
      <c r="P630" t="s">
        <v>353</v>
      </c>
      <c r="Q630" t="s">
        <v>244</v>
      </c>
      <c r="R630">
        <v>11.1</v>
      </c>
      <c r="S630" t="s">
        <v>2951</v>
      </c>
    </row>
    <row r="631" spans="1:19" x14ac:dyDescent="0.3">
      <c r="A631" t="s">
        <v>1607</v>
      </c>
      <c r="B631" t="s">
        <v>207</v>
      </c>
      <c r="C631" t="s">
        <v>93</v>
      </c>
      <c r="D631" t="s">
        <v>45</v>
      </c>
      <c r="E631">
        <v>44</v>
      </c>
      <c r="F631" t="s">
        <v>2946</v>
      </c>
      <c r="G631" t="s">
        <v>1594</v>
      </c>
      <c r="H631" t="s">
        <v>1595</v>
      </c>
      <c r="I631" t="s">
        <v>394</v>
      </c>
      <c r="J631" t="s">
        <v>106</v>
      </c>
      <c r="K631" t="s">
        <v>35</v>
      </c>
      <c r="L631" s="1">
        <v>44830</v>
      </c>
      <c r="M631" s="2">
        <v>561546</v>
      </c>
      <c r="N631" s="2" t="s">
        <v>2950</v>
      </c>
      <c r="O631" t="s">
        <v>111</v>
      </c>
      <c r="P631" t="s">
        <v>205</v>
      </c>
      <c r="Q631" t="s">
        <v>65</v>
      </c>
      <c r="R631">
        <v>3.6</v>
      </c>
      <c r="S631" t="s">
        <v>2952</v>
      </c>
    </row>
    <row r="632" spans="1:19" x14ac:dyDescent="0.3">
      <c r="A632" t="s">
        <v>1609</v>
      </c>
      <c r="B632" t="s">
        <v>233</v>
      </c>
      <c r="C632" t="s">
        <v>18</v>
      </c>
      <c r="D632" t="s">
        <v>24</v>
      </c>
      <c r="E632">
        <v>56</v>
      </c>
      <c r="F632" t="s">
        <v>2947</v>
      </c>
      <c r="G632" t="s">
        <v>1597</v>
      </c>
      <c r="H632" t="s">
        <v>1598</v>
      </c>
      <c r="I632" t="s">
        <v>592</v>
      </c>
      <c r="J632" t="s">
        <v>859</v>
      </c>
      <c r="K632" t="s">
        <v>71</v>
      </c>
      <c r="L632" s="1">
        <v>42187</v>
      </c>
      <c r="M632" s="2">
        <v>329098</v>
      </c>
      <c r="N632" s="2" t="s">
        <v>2948</v>
      </c>
      <c r="O632" t="s">
        <v>111</v>
      </c>
      <c r="P632" t="s">
        <v>21</v>
      </c>
      <c r="Q632" t="s">
        <v>244</v>
      </c>
      <c r="R632">
        <v>11.3</v>
      </c>
      <c r="S632" t="s">
        <v>2951</v>
      </c>
    </row>
    <row r="633" spans="1:19" x14ac:dyDescent="0.3">
      <c r="A633" t="s">
        <v>1612</v>
      </c>
      <c r="B633" t="s">
        <v>297</v>
      </c>
      <c r="C633" t="s">
        <v>327</v>
      </c>
      <c r="D633" t="s">
        <v>24</v>
      </c>
      <c r="E633">
        <v>41</v>
      </c>
      <c r="F633" t="s">
        <v>2946</v>
      </c>
      <c r="G633" t="s">
        <v>1600</v>
      </c>
      <c r="H633" t="s">
        <v>2764</v>
      </c>
      <c r="I633" t="s">
        <v>271</v>
      </c>
      <c r="J633" t="s">
        <v>700</v>
      </c>
      <c r="K633" t="s">
        <v>28</v>
      </c>
      <c r="M633" s="2">
        <v>7537960</v>
      </c>
      <c r="N633" s="2" t="s">
        <v>2950</v>
      </c>
      <c r="O633" t="s">
        <v>111</v>
      </c>
      <c r="P633" t="s">
        <v>90</v>
      </c>
      <c r="Q633" t="s">
        <v>79</v>
      </c>
      <c r="R633">
        <v>8.4</v>
      </c>
      <c r="S633" t="s">
        <v>2951</v>
      </c>
    </row>
    <row r="634" spans="1:19" x14ac:dyDescent="0.3">
      <c r="A634" t="s">
        <v>1614</v>
      </c>
      <c r="B634" t="s">
        <v>85</v>
      </c>
      <c r="C634" t="s">
        <v>176</v>
      </c>
      <c r="D634" t="s">
        <v>45</v>
      </c>
      <c r="E634">
        <v>40</v>
      </c>
      <c r="F634" t="s">
        <v>2946</v>
      </c>
      <c r="G634" t="s">
        <v>1602</v>
      </c>
      <c r="H634" t="s">
        <v>1603</v>
      </c>
      <c r="I634" t="s">
        <v>53</v>
      </c>
      <c r="J634" t="s">
        <v>1309</v>
      </c>
      <c r="K634" t="s">
        <v>71</v>
      </c>
      <c r="L634" s="1">
        <v>44154</v>
      </c>
      <c r="M634" s="2">
        <v>581038</v>
      </c>
      <c r="N634" s="2" t="s">
        <v>2950</v>
      </c>
      <c r="O634" t="s">
        <v>130</v>
      </c>
      <c r="P634" t="s">
        <v>21</v>
      </c>
      <c r="Q634" t="s">
        <v>79</v>
      </c>
      <c r="R634">
        <v>5.5</v>
      </c>
      <c r="S634" t="s">
        <v>2953</v>
      </c>
    </row>
    <row r="635" spans="1:19" x14ac:dyDescent="0.3">
      <c r="A635" t="s">
        <v>1615</v>
      </c>
      <c r="B635" t="s">
        <v>145</v>
      </c>
      <c r="C635" t="s">
        <v>141</v>
      </c>
      <c r="D635" t="s">
        <v>45</v>
      </c>
      <c r="E635">
        <v>54</v>
      </c>
      <c r="F635" t="s">
        <v>2947</v>
      </c>
      <c r="G635" t="s">
        <v>1605</v>
      </c>
      <c r="H635" t="s">
        <v>1606</v>
      </c>
      <c r="I635" t="s">
        <v>592</v>
      </c>
      <c r="J635" t="s">
        <v>247</v>
      </c>
      <c r="K635" t="s">
        <v>71</v>
      </c>
      <c r="L635" s="1">
        <v>43592</v>
      </c>
      <c r="M635" s="2">
        <v>701968</v>
      </c>
      <c r="N635" s="2" t="s">
        <v>2950</v>
      </c>
      <c r="O635" t="s">
        <v>253</v>
      </c>
      <c r="P635" t="s">
        <v>205</v>
      </c>
      <c r="Q635" t="s">
        <v>72</v>
      </c>
      <c r="R635">
        <v>7</v>
      </c>
      <c r="S635" t="s">
        <v>2953</v>
      </c>
    </row>
    <row r="636" spans="1:19" x14ac:dyDescent="0.3">
      <c r="A636" t="s">
        <v>1617</v>
      </c>
      <c r="B636" t="s">
        <v>103</v>
      </c>
      <c r="C636" t="s">
        <v>62</v>
      </c>
      <c r="D636" t="s">
        <v>45</v>
      </c>
      <c r="E636">
        <v>32</v>
      </c>
      <c r="F636" t="s">
        <v>2946</v>
      </c>
      <c r="G636" t="s">
        <v>568</v>
      </c>
      <c r="H636" t="s">
        <v>1608</v>
      </c>
      <c r="I636" t="s">
        <v>271</v>
      </c>
      <c r="J636" t="s">
        <v>143</v>
      </c>
      <c r="K636" t="s">
        <v>48</v>
      </c>
      <c r="L636" s="1">
        <v>42530</v>
      </c>
      <c r="M636" s="2">
        <v>6185090</v>
      </c>
      <c r="N636" s="2" t="s">
        <v>2950</v>
      </c>
      <c r="O636" t="s">
        <v>130</v>
      </c>
      <c r="P636" t="s">
        <v>21</v>
      </c>
      <c r="Q636" t="s">
        <v>72</v>
      </c>
      <c r="R636">
        <v>9.9</v>
      </c>
      <c r="S636" t="s">
        <v>2951</v>
      </c>
    </row>
    <row r="637" spans="1:19" x14ac:dyDescent="0.3">
      <c r="A637" t="s">
        <v>1131</v>
      </c>
      <c r="B637" t="s">
        <v>154</v>
      </c>
      <c r="C637" t="s">
        <v>108</v>
      </c>
      <c r="D637" t="s">
        <v>24</v>
      </c>
      <c r="E637">
        <v>35</v>
      </c>
      <c r="F637" t="s">
        <v>2946</v>
      </c>
      <c r="G637" t="s">
        <v>1610</v>
      </c>
      <c r="H637" t="s">
        <v>1611</v>
      </c>
      <c r="I637" t="s">
        <v>271</v>
      </c>
      <c r="J637" t="s">
        <v>95</v>
      </c>
      <c r="K637" t="s">
        <v>48</v>
      </c>
      <c r="L637" s="1">
        <v>42320</v>
      </c>
      <c r="M637" s="2">
        <v>596440</v>
      </c>
      <c r="N637" s="2" t="s">
        <v>2950</v>
      </c>
      <c r="O637" t="s">
        <v>130</v>
      </c>
      <c r="P637" t="s">
        <v>90</v>
      </c>
      <c r="Q637" t="s">
        <v>244</v>
      </c>
      <c r="R637">
        <v>10.5</v>
      </c>
      <c r="S637" t="s">
        <v>2951</v>
      </c>
    </row>
    <row r="638" spans="1:19" x14ac:dyDescent="0.3">
      <c r="A638" t="s">
        <v>1620</v>
      </c>
      <c r="B638" t="s">
        <v>148</v>
      </c>
      <c r="C638" t="s">
        <v>200</v>
      </c>
      <c r="D638" t="s">
        <v>24</v>
      </c>
      <c r="E638">
        <v>22</v>
      </c>
      <c r="F638" t="s">
        <v>2945</v>
      </c>
      <c r="G638" t="s">
        <v>1613</v>
      </c>
      <c r="H638" t="s">
        <v>2369</v>
      </c>
      <c r="I638" t="s">
        <v>368</v>
      </c>
      <c r="J638" t="s">
        <v>125</v>
      </c>
      <c r="K638" t="s">
        <v>28</v>
      </c>
      <c r="L638" s="1">
        <v>42853</v>
      </c>
      <c r="M638" s="2">
        <v>754236</v>
      </c>
      <c r="N638" s="2" t="s">
        <v>2950</v>
      </c>
      <c r="O638" t="s">
        <v>253</v>
      </c>
      <c r="P638" t="s">
        <v>353</v>
      </c>
      <c r="Q638" t="s">
        <v>72</v>
      </c>
      <c r="R638">
        <v>9</v>
      </c>
      <c r="S638" t="s">
        <v>2951</v>
      </c>
    </row>
    <row r="639" spans="1:19" x14ac:dyDescent="0.3">
      <c r="A639" t="s">
        <v>1621</v>
      </c>
      <c r="B639" t="s">
        <v>103</v>
      </c>
      <c r="C639" t="s">
        <v>408</v>
      </c>
      <c r="D639" t="s">
        <v>45</v>
      </c>
      <c r="E639">
        <v>35</v>
      </c>
      <c r="F639" t="s">
        <v>2946</v>
      </c>
      <c r="G639" t="s">
        <v>2384</v>
      </c>
      <c r="H639" t="s">
        <v>2369</v>
      </c>
      <c r="I639" t="s">
        <v>271</v>
      </c>
      <c r="J639" t="s">
        <v>1005</v>
      </c>
      <c r="K639" t="s">
        <v>28</v>
      </c>
      <c r="L639" s="1">
        <v>43145</v>
      </c>
      <c r="M639" s="2">
        <v>848100</v>
      </c>
      <c r="N639" s="2" t="s">
        <v>2950</v>
      </c>
      <c r="O639" t="s">
        <v>111</v>
      </c>
      <c r="P639" t="s">
        <v>353</v>
      </c>
      <c r="Q639" t="s">
        <v>244</v>
      </c>
      <c r="R639">
        <v>8.1999999999999993</v>
      </c>
      <c r="S639" t="s">
        <v>2951</v>
      </c>
    </row>
    <row r="640" spans="1:19" x14ac:dyDescent="0.3">
      <c r="A640" t="s">
        <v>1623</v>
      </c>
      <c r="B640" t="s">
        <v>74</v>
      </c>
      <c r="C640" t="s">
        <v>141</v>
      </c>
      <c r="D640" t="s">
        <v>45</v>
      </c>
      <c r="E640">
        <v>25</v>
      </c>
      <c r="F640" t="s">
        <v>2945</v>
      </c>
      <c r="G640" t="s">
        <v>1616</v>
      </c>
      <c r="H640" t="s">
        <v>2369</v>
      </c>
      <c r="I640" t="s">
        <v>235</v>
      </c>
      <c r="J640" t="s">
        <v>163</v>
      </c>
      <c r="K640" t="s">
        <v>35</v>
      </c>
      <c r="L640" s="1">
        <v>43600</v>
      </c>
      <c r="M640" s="2">
        <v>308199</v>
      </c>
      <c r="N640" s="2" t="s">
        <v>2948</v>
      </c>
      <c r="O640" t="s">
        <v>216</v>
      </c>
      <c r="P640" t="s">
        <v>205</v>
      </c>
      <c r="Q640" t="s">
        <v>72</v>
      </c>
      <c r="R640">
        <v>7</v>
      </c>
      <c r="S640" t="s">
        <v>2953</v>
      </c>
    </row>
    <row r="641" spans="1:19" x14ac:dyDescent="0.3">
      <c r="A641" t="s">
        <v>1625</v>
      </c>
      <c r="B641" t="s">
        <v>81</v>
      </c>
      <c r="C641" t="s">
        <v>146</v>
      </c>
      <c r="D641" t="s">
        <v>24</v>
      </c>
      <c r="E641">
        <v>30</v>
      </c>
      <c r="F641" t="s">
        <v>2945</v>
      </c>
      <c r="G641" t="s">
        <v>1618</v>
      </c>
      <c r="H641" t="s">
        <v>1619</v>
      </c>
      <c r="I641" t="s">
        <v>235</v>
      </c>
      <c r="J641" t="s">
        <v>480</v>
      </c>
      <c r="K641" t="s">
        <v>48</v>
      </c>
      <c r="M641" s="2">
        <v>581449</v>
      </c>
      <c r="N641" s="2" t="s">
        <v>2950</v>
      </c>
      <c r="O641" t="s">
        <v>41</v>
      </c>
      <c r="P641" t="s">
        <v>205</v>
      </c>
      <c r="Q641" t="s">
        <v>72</v>
      </c>
      <c r="R641">
        <v>11</v>
      </c>
      <c r="S641" t="s">
        <v>2951</v>
      </c>
    </row>
    <row r="642" spans="1:19" x14ac:dyDescent="0.3">
      <c r="A642" t="s">
        <v>1627</v>
      </c>
      <c r="B642" t="s">
        <v>385</v>
      </c>
      <c r="C642" t="s">
        <v>141</v>
      </c>
      <c r="D642" t="s">
        <v>45</v>
      </c>
      <c r="E642">
        <v>58</v>
      </c>
      <c r="F642" t="s">
        <v>2947</v>
      </c>
      <c r="G642" t="s">
        <v>2450</v>
      </c>
      <c r="H642" t="s">
        <v>2369</v>
      </c>
      <c r="I642" t="s">
        <v>592</v>
      </c>
      <c r="J642" t="s">
        <v>247</v>
      </c>
      <c r="K642" t="s">
        <v>71</v>
      </c>
      <c r="L642" s="1">
        <v>43099</v>
      </c>
      <c r="M642" s="2">
        <v>270042</v>
      </c>
      <c r="N642" s="2" t="s">
        <v>2948</v>
      </c>
      <c r="O642" t="s">
        <v>253</v>
      </c>
      <c r="P642" t="s">
        <v>205</v>
      </c>
      <c r="Q642" t="s">
        <v>72</v>
      </c>
      <c r="R642">
        <v>8.4</v>
      </c>
      <c r="S642" t="s">
        <v>2951</v>
      </c>
    </row>
    <row r="643" spans="1:19" x14ac:dyDescent="0.3">
      <c r="A643" t="s">
        <v>1629</v>
      </c>
      <c r="B643" t="s">
        <v>326</v>
      </c>
      <c r="C643" t="s">
        <v>120</v>
      </c>
      <c r="D643" t="s">
        <v>45</v>
      </c>
      <c r="E643">
        <v>55</v>
      </c>
      <c r="F643" t="s">
        <v>2947</v>
      </c>
      <c r="G643" t="s">
        <v>1622</v>
      </c>
      <c r="H643" t="s">
        <v>2765</v>
      </c>
      <c r="I643" t="s">
        <v>235</v>
      </c>
      <c r="J643" t="s">
        <v>89</v>
      </c>
      <c r="K643" t="s">
        <v>35</v>
      </c>
      <c r="L643" s="1">
        <v>43233</v>
      </c>
      <c r="M643" s="2">
        <v>787312</v>
      </c>
      <c r="N643" s="2" t="s">
        <v>2950</v>
      </c>
      <c r="O643" t="s">
        <v>130</v>
      </c>
      <c r="P643" t="s">
        <v>21</v>
      </c>
      <c r="Q643" t="s">
        <v>158</v>
      </c>
      <c r="R643">
        <v>8</v>
      </c>
      <c r="S643" t="s">
        <v>2953</v>
      </c>
    </row>
    <row r="644" spans="1:19" x14ac:dyDescent="0.3">
      <c r="A644" t="s">
        <v>1631</v>
      </c>
      <c r="B644" t="s">
        <v>81</v>
      </c>
      <c r="C644" t="s">
        <v>287</v>
      </c>
      <c r="D644" t="s">
        <v>24</v>
      </c>
      <c r="E644">
        <v>22</v>
      </c>
      <c r="F644" t="s">
        <v>2945</v>
      </c>
      <c r="G644" t="s">
        <v>1624</v>
      </c>
      <c r="H644" t="s">
        <v>2766</v>
      </c>
      <c r="I644" t="s">
        <v>209</v>
      </c>
      <c r="J644" t="s">
        <v>616</v>
      </c>
      <c r="K644" t="s">
        <v>71</v>
      </c>
      <c r="L644" s="1">
        <v>43969</v>
      </c>
      <c r="M644" s="2">
        <v>742233</v>
      </c>
      <c r="N644" s="2" t="s">
        <v>2950</v>
      </c>
      <c r="O644" t="s">
        <v>111</v>
      </c>
      <c r="P644" t="s">
        <v>353</v>
      </c>
      <c r="Q644" t="s">
        <v>79</v>
      </c>
      <c r="R644">
        <v>6</v>
      </c>
      <c r="S644" t="s">
        <v>2953</v>
      </c>
    </row>
    <row r="645" spans="1:19" x14ac:dyDescent="0.3">
      <c r="A645" t="s">
        <v>1632</v>
      </c>
      <c r="B645" t="s">
        <v>190</v>
      </c>
      <c r="C645" t="s">
        <v>120</v>
      </c>
      <c r="D645" t="s">
        <v>45</v>
      </c>
      <c r="E645">
        <v>49</v>
      </c>
      <c r="F645" t="s">
        <v>2947</v>
      </c>
      <c r="G645" t="s">
        <v>1626</v>
      </c>
      <c r="H645" t="s">
        <v>2767</v>
      </c>
      <c r="I645" t="s">
        <v>271</v>
      </c>
      <c r="J645" t="s">
        <v>489</v>
      </c>
      <c r="K645" t="s">
        <v>71</v>
      </c>
      <c r="L645" s="1">
        <v>44636</v>
      </c>
      <c r="M645" s="2">
        <v>103329</v>
      </c>
      <c r="N645" s="2" t="s">
        <v>2949</v>
      </c>
      <c r="O645" t="s">
        <v>253</v>
      </c>
      <c r="P645" t="s">
        <v>90</v>
      </c>
      <c r="Q645" t="s">
        <v>65</v>
      </c>
      <c r="R645">
        <v>4.2</v>
      </c>
      <c r="S645" t="s">
        <v>2952</v>
      </c>
    </row>
    <row r="646" spans="1:19" x14ac:dyDescent="0.3">
      <c r="A646" t="s">
        <v>1634</v>
      </c>
      <c r="B646" t="s">
        <v>127</v>
      </c>
      <c r="C646" t="s">
        <v>104</v>
      </c>
      <c r="D646" t="s">
        <v>24</v>
      </c>
      <c r="E646">
        <v>43</v>
      </c>
      <c r="F646" t="s">
        <v>2946</v>
      </c>
      <c r="G646" t="s">
        <v>1628</v>
      </c>
      <c r="H646" t="s">
        <v>2369</v>
      </c>
      <c r="I646" t="s">
        <v>394</v>
      </c>
      <c r="J646" t="s">
        <v>519</v>
      </c>
      <c r="K646" t="s">
        <v>28</v>
      </c>
      <c r="L646" s="1">
        <v>42073</v>
      </c>
      <c r="M646" s="2">
        <v>757079</v>
      </c>
      <c r="N646" s="2" t="s">
        <v>2950</v>
      </c>
      <c r="O646" t="s">
        <v>41</v>
      </c>
      <c r="P646" t="s">
        <v>353</v>
      </c>
      <c r="Q646" t="s">
        <v>79</v>
      </c>
      <c r="R646">
        <v>11.2</v>
      </c>
      <c r="S646" t="s">
        <v>2951</v>
      </c>
    </row>
    <row r="647" spans="1:19" x14ac:dyDescent="0.3">
      <c r="A647" t="s">
        <v>1637</v>
      </c>
      <c r="B647" t="s">
        <v>301</v>
      </c>
      <c r="C647" t="s">
        <v>68</v>
      </c>
      <c r="D647" t="s">
        <v>45</v>
      </c>
      <c r="E647">
        <v>48</v>
      </c>
      <c r="F647" t="s">
        <v>2947</v>
      </c>
      <c r="G647" t="s">
        <v>1630</v>
      </c>
      <c r="H647" t="s">
        <v>2768</v>
      </c>
      <c r="I647" t="s">
        <v>53</v>
      </c>
      <c r="J647" t="s">
        <v>320</v>
      </c>
      <c r="K647" t="s">
        <v>35</v>
      </c>
      <c r="L647" s="1">
        <v>44292</v>
      </c>
      <c r="M647" s="2">
        <v>336370</v>
      </c>
      <c r="N647" s="2" t="s">
        <v>2948</v>
      </c>
      <c r="O647" t="s">
        <v>216</v>
      </c>
      <c r="P647" t="s">
        <v>205</v>
      </c>
      <c r="Q647" t="s">
        <v>79</v>
      </c>
      <c r="R647">
        <v>4.9000000000000004</v>
      </c>
      <c r="S647" t="s">
        <v>2952</v>
      </c>
    </row>
    <row r="648" spans="1:19" x14ac:dyDescent="0.3">
      <c r="A648" t="s">
        <v>1639</v>
      </c>
      <c r="B648" t="s">
        <v>269</v>
      </c>
      <c r="C648" t="s">
        <v>221</v>
      </c>
      <c r="D648" t="s">
        <v>24</v>
      </c>
      <c r="E648">
        <v>47</v>
      </c>
      <c r="F648" t="s">
        <v>2947</v>
      </c>
      <c r="G648" t="s">
        <v>270</v>
      </c>
      <c r="H648" t="s">
        <v>2769</v>
      </c>
      <c r="I648" t="s">
        <v>394</v>
      </c>
      <c r="J648" t="s">
        <v>106</v>
      </c>
      <c r="K648" t="s">
        <v>28</v>
      </c>
      <c r="L648" s="1">
        <v>44442</v>
      </c>
      <c r="M648" s="2">
        <v>350705</v>
      </c>
      <c r="N648" s="2" t="s">
        <v>2948</v>
      </c>
      <c r="O648" t="s">
        <v>130</v>
      </c>
      <c r="P648" t="s">
        <v>21</v>
      </c>
      <c r="Q648" t="s">
        <v>79</v>
      </c>
      <c r="R648">
        <v>4.7</v>
      </c>
      <c r="S648" t="s">
        <v>2952</v>
      </c>
    </row>
    <row r="649" spans="1:19" x14ac:dyDescent="0.3">
      <c r="A649" t="s">
        <v>1641</v>
      </c>
      <c r="B649" t="s">
        <v>348</v>
      </c>
      <c r="C649" t="s">
        <v>149</v>
      </c>
      <c r="D649" t="s">
        <v>24</v>
      </c>
      <c r="E649">
        <v>39</v>
      </c>
      <c r="F649" t="s">
        <v>2946</v>
      </c>
      <c r="G649" t="s">
        <v>1633</v>
      </c>
      <c r="H649" t="s">
        <v>2770</v>
      </c>
      <c r="I649" t="s">
        <v>517</v>
      </c>
      <c r="J649" t="s">
        <v>239</v>
      </c>
      <c r="K649" t="s">
        <v>28</v>
      </c>
      <c r="M649" s="2">
        <v>723066</v>
      </c>
      <c r="N649" s="2" t="s">
        <v>2950</v>
      </c>
      <c r="O649" t="s">
        <v>216</v>
      </c>
      <c r="P649" t="s">
        <v>21</v>
      </c>
      <c r="Q649" t="s">
        <v>72</v>
      </c>
      <c r="R649">
        <v>7.2</v>
      </c>
      <c r="S649" t="s">
        <v>2953</v>
      </c>
    </row>
    <row r="650" spans="1:19" x14ac:dyDescent="0.3">
      <c r="A650" t="s">
        <v>1644</v>
      </c>
      <c r="B650" t="s">
        <v>81</v>
      </c>
      <c r="C650" t="s">
        <v>161</v>
      </c>
      <c r="D650" t="s">
        <v>45</v>
      </c>
      <c r="F650" t="s">
        <v>2369</v>
      </c>
      <c r="G650" t="s">
        <v>1635</v>
      </c>
      <c r="H650" t="s">
        <v>1636</v>
      </c>
      <c r="I650" t="s">
        <v>368</v>
      </c>
      <c r="J650" t="s">
        <v>455</v>
      </c>
      <c r="K650" t="s">
        <v>48</v>
      </c>
      <c r="M650" s="2">
        <v>128770</v>
      </c>
      <c r="N650" s="2" t="s">
        <v>2949</v>
      </c>
      <c r="O650" t="s">
        <v>253</v>
      </c>
      <c r="P650" t="s">
        <v>152</v>
      </c>
      <c r="Q650" t="s">
        <v>158</v>
      </c>
      <c r="R650">
        <v>3.3</v>
      </c>
      <c r="S650" t="s">
        <v>2952</v>
      </c>
    </row>
    <row r="651" spans="1:19" x14ac:dyDescent="0.3">
      <c r="A651" t="s">
        <v>1646</v>
      </c>
      <c r="B651" t="s">
        <v>301</v>
      </c>
      <c r="C651" t="s">
        <v>108</v>
      </c>
      <c r="D651" t="s">
        <v>24</v>
      </c>
      <c r="E651">
        <v>54</v>
      </c>
      <c r="F651" t="s">
        <v>2947</v>
      </c>
      <c r="G651" t="s">
        <v>1638</v>
      </c>
      <c r="H651" t="s">
        <v>2771</v>
      </c>
      <c r="I651" t="s">
        <v>485</v>
      </c>
      <c r="J651" t="s">
        <v>503</v>
      </c>
      <c r="K651" t="s">
        <v>28</v>
      </c>
      <c r="L651" s="1">
        <v>42323</v>
      </c>
      <c r="M651" s="2">
        <v>162485</v>
      </c>
      <c r="N651" s="2" t="s">
        <v>2949</v>
      </c>
      <c r="O651" t="s">
        <v>41</v>
      </c>
      <c r="P651" t="s">
        <v>152</v>
      </c>
      <c r="Q651" t="s">
        <v>79</v>
      </c>
      <c r="R651">
        <v>10.5</v>
      </c>
      <c r="S651" t="s">
        <v>2951</v>
      </c>
    </row>
    <row r="652" spans="1:19" x14ac:dyDescent="0.3">
      <c r="A652" t="s">
        <v>1649</v>
      </c>
      <c r="B652" t="s">
        <v>56</v>
      </c>
      <c r="C652" t="s">
        <v>161</v>
      </c>
      <c r="D652" t="s">
        <v>45</v>
      </c>
      <c r="E652">
        <v>26</v>
      </c>
      <c r="F652" t="s">
        <v>2945</v>
      </c>
      <c r="G652" t="s">
        <v>1640</v>
      </c>
      <c r="H652" t="s">
        <v>2772</v>
      </c>
      <c r="I652" t="s">
        <v>485</v>
      </c>
      <c r="J652" t="s">
        <v>379</v>
      </c>
      <c r="K652" t="s">
        <v>35</v>
      </c>
      <c r="L652" s="1">
        <v>44634</v>
      </c>
      <c r="M652" s="2">
        <v>728884</v>
      </c>
      <c r="N652" s="2" t="s">
        <v>2950</v>
      </c>
      <c r="O652" t="s">
        <v>111</v>
      </c>
      <c r="P652" t="s">
        <v>205</v>
      </c>
      <c r="Q652" t="s">
        <v>65</v>
      </c>
      <c r="R652">
        <v>4.2</v>
      </c>
      <c r="S652" t="s">
        <v>2952</v>
      </c>
    </row>
    <row r="653" spans="1:19" x14ac:dyDescent="0.3">
      <c r="A653" t="s">
        <v>1652</v>
      </c>
      <c r="B653" t="s">
        <v>269</v>
      </c>
      <c r="C653" t="s">
        <v>348</v>
      </c>
      <c r="D653" t="s">
        <v>45</v>
      </c>
      <c r="E653">
        <v>38</v>
      </c>
      <c r="F653" t="s">
        <v>2946</v>
      </c>
      <c r="G653" t="s">
        <v>1642</v>
      </c>
      <c r="H653" t="s">
        <v>1643</v>
      </c>
      <c r="I653" t="s">
        <v>100</v>
      </c>
      <c r="J653" t="s">
        <v>117</v>
      </c>
      <c r="K653" t="s">
        <v>71</v>
      </c>
      <c r="L653" s="1">
        <v>43345</v>
      </c>
      <c r="M653" s="2">
        <v>715130</v>
      </c>
      <c r="N653" s="2" t="s">
        <v>2950</v>
      </c>
      <c r="O653" t="s">
        <v>111</v>
      </c>
      <c r="P653" t="s">
        <v>21</v>
      </c>
      <c r="Q653" t="s">
        <v>72</v>
      </c>
      <c r="R653">
        <v>7.7</v>
      </c>
      <c r="S653" t="s">
        <v>2953</v>
      </c>
    </row>
    <row r="654" spans="1:19" x14ac:dyDescent="0.3">
      <c r="A654" t="s">
        <v>1654</v>
      </c>
      <c r="B654" t="s">
        <v>148</v>
      </c>
      <c r="C654" t="s">
        <v>200</v>
      </c>
      <c r="D654" t="s">
        <v>24</v>
      </c>
      <c r="E654">
        <v>43</v>
      </c>
      <c r="F654" t="s">
        <v>2946</v>
      </c>
      <c r="G654" t="s">
        <v>2451</v>
      </c>
      <c r="H654" t="s">
        <v>1645</v>
      </c>
      <c r="I654" t="s">
        <v>271</v>
      </c>
      <c r="J654" t="s">
        <v>1032</v>
      </c>
      <c r="K654" t="s">
        <v>35</v>
      </c>
      <c r="L654" s="1">
        <v>44472</v>
      </c>
      <c r="M654" s="2">
        <v>423794</v>
      </c>
      <c r="N654" s="2" t="s">
        <v>2948</v>
      </c>
      <c r="O654" t="s">
        <v>130</v>
      </c>
      <c r="P654" t="s">
        <v>90</v>
      </c>
      <c r="Q654" t="s">
        <v>158</v>
      </c>
      <c r="R654">
        <v>4.5999999999999996</v>
      </c>
      <c r="S654" t="s">
        <v>2952</v>
      </c>
    </row>
    <row r="655" spans="1:19" x14ac:dyDescent="0.3">
      <c r="A655" t="s">
        <v>1655</v>
      </c>
      <c r="B655" t="s">
        <v>56</v>
      </c>
      <c r="C655" t="s">
        <v>75</v>
      </c>
      <c r="D655" t="s">
        <v>45</v>
      </c>
      <c r="E655">
        <v>45</v>
      </c>
      <c r="F655" t="s">
        <v>2946</v>
      </c>
      <c r="G655" t="s">
        <v>1647</v>
      </c>
      <c r="H655" t="s">
        <v>1648</v>
      </c>
      <c r="I655" t="s">
        <v>394</v>
      </c>
      <c r="J655" t="s">
        <v>243</v>
      </c>
      <c r="K655" t="s">
        <v>48</v>
      </c>
      <c r="L655" s="1">
        <v>44827</v>
      </c>
      <c r="M655" s="2">
        <v>717813</v>
      </c>
      <c r="N655" s="2" t="s">
        <v>2950</v>
      </c>
      <c r="O655" t="s">
        <v>111</v>
      </c>
      <c r="P655" t="s">
        <v>21</v>
      </c>
      <c r="Q655" t="s">
        <v>72</v>
      </c>
      <c r="R655">
        <v>3.6</v>
      </c>
      <c r="S655" t="s">
        <v>2952</v>
      </c>
    </row>
    <row r="656" spans="1:19" x14ac:dyDescent="0.3">
      <c r="A656" t="s">
        <v>1658</v>
      </c>
      <c r="B656" t="s">
        <v>281</v>
      </c>
      <c r="C656" t="s">
        <v>287</v>
      </c>
      <c r="D656" t="s">
        <v>24</v>
      </c>
      <c r="E656">
        <v>42</v>
      </c>
      <c r="F656" t="s">
        <v>2946</v>
      </c>
      <c r="G656" t="s">
        <v>1650</v>
      </c>
      <c r="H656" t="s">
        <v>1651</v>
      </c>
      <c r="I656" t="s">
        <v>209</v>
      </c>
      <c r="K656" t="s">
        <v>48</v>
      </c>
      <c r="L656" s="1">
        <v>44723</v>
      </c>
      <c r="M656" s="2">
        <v>885362</v>
      </c>
      <c r="N656" s="2" t="s">
        <v>2950</v>
      </c>
      <c r="O656" t="s">
        <v>198</v>
      </c>
      <c r="P656" t="s">
        <v>205</v>
      </c>
      <c r="Q656" t="s">
        <v>244</v>
      </c>
      <c r="R656">
        <v>3.9</v>
      </c>
      <c r="S656" t="s">
        <v>2952</v>
      </c>
    </row>
    <row r="657" spans="1:19" x14ac:dyDescent="0.3">
      <c r="A657" t="s">
        <v>1660</v>
      </c>
      <c r="B657" t="s">
        <v>17</v>
      </c>
      <c r="C657" t="s">
        <v>155</v>
      </c>
      <c r="D657" t="s">
        <v>45</v>
      </c>
      <c r="E657">
        <v>29</v>
      </c>
      <c r="F657" t="s">
        <v>2945</v>
      </c>
      <c r="G657" t="s">
        <v>1653</v>
      </c>
      <c r="H657" t="s">
        <v>2369</v>
      </c>
      <c r="I657" t="s">
        <v>100</v>
      </c>
      <c r="J657" t="s">
        <v>101</v>
      </c>
      <c r="K657" t="s">
        <v>28</v>
      </c>
      <c r="L657" s="1">
        <v>42553</v>
      </c>
      <c r="M657" s="2">
        <v>856002</v>
      </c>
      <c r="N657" s="2" t="s">
        <v>2950</v>
      </c>
      <c r="O657" t="s">
        <v>130</v>
      </c>
      <c r="P657" t="s">
        <v>353</v>
      </c>
      <c r="Q657" t="s">
        <v>244</v>
      </c>
      <c r="R657">
        <v>9.9</v>
      </c>
      <c r="S657" t="s">
        <v>2951</v>
      </c>
    </row>
    <row r="658" spans="1:19" x14ac:dyDescent="0.3">
      <c r="A658" t="s">
        <v>1663</v>
      </c>
      <c r="B658" t="s">
        <v>326</v>
      </c>
      <c r="C658" t="s">
        <v>408</v>
      </c>
      <c r="D658" t="s">
        <v>45</v>
      </c>
      <c r="E658">
        <v>34</v>
      </c>
      <c r="F658" t="s">
        <v>2946</v>
      </c>
      <c r="G658" t="s">
        <v>2385</v>
      </c>
      <c r="H658" t="s">
        <v>2773</v>
      </c>
      <c r="I658" t="s">
        <v>485</v>
      </c>
      <c r="J658" t="s">
        <v>459</v>
      </c>
      <c r="K658" t="s">
        <v>35</v>
      </c>
      <c r="L658" s="1">
        <v>42532</v>
      </c>
      <c r="M658" s="2">
        <v>346431</v>
      </c>
      <c r="N658" s="2" t="s">
        <v>2948</v>
      </c>
      <c r="O658" t="s">
        <v>111</v>
      </c>
      <c r="P658" t="s">
        <v>21</v>
      </c>
      <c r="Q658" t="s">
        <v>79</v>
      </c>
      <c r="R658">
        <v>9.9</v>
      </c>
      <c r="S658" t="s">
        <v>2951</v>
      </c>
    </row>
    <row r="659" spans="1:19" x14ac:dyDescent="0.3">
      <c r="A659" t="s">
        <v>1666</v>
      </c>
      <c r="B659" t="s">
        <v>175</v>
      </c>
      <c r="C659" t="s">
        <v>161</v>
      </c>
      <c r="D659" t="s">
        <v>45</v>
      </c>
      <c r="E659">
        <v>38</v>
      </c>
      <c r="F659" t="s">
        <v>2946</v>
      </c>
      <c r="G659" t="s">
        <v>1656</v>
      </c>
      <c r="H659" t="s">
        <v>1657</v>
      </c>
      <c r="I659" t="s">
        <v>53</v>
      </c>
      <c r="J659" t="s">
        <v>1169</v>
      </c>
      <c r="K659" t="s">
        <v>48</v>
      </c>
      <c r="M659" s="2">
        <v>801221</v>
      </c>
      <c r="N659" s="2" t="s">
        <v>2950</v>
      </c>
      <c r="O659" t="s">
        <v>253</v>
      </c>
      <c r="P659" t="s">
        <v>21</v>
      </c>
      <c r="Q659" t="s">
        <v>244</v>
      </c>
      <c r="R659">
        <v>7</v>
      </c>
      <c r="S659" t="s">
        <v>2953</v>
      </c>
    </row>
    <row r="660" spans="1:19" x14ac:dyDescent="0.3">
      <c r="A660" t="s">
        <v>1668</v>
      </c>
      <c r="B660" t="s">
        <v>326</v>
      </c>
      <c r="C660" t="s">
        <v>146</v>
      </c>
      <c r="D660" t="s">
        <v>45</v>
      </c>
      <c r="E660">
        <v>58</v>
      </c>
      <c r="F660" t="s">
        <v>2947</v>
      </c>
      <c r="G660" t="s">
        <v>1659</v>
      </c>
      <c r="H660" t="s">
        <v>2774</v>
      </c>
      <c r="I660" t="s">
        <v>209</v>
      </c>
      <c r="J660" t="s">
        <v>393</v>
      </c>
      <c r="K660" t="s">
        <v>28</v>
      </c>
      <c r="L660" s="1">
        <v>43983</v>
      </c>
      <c r="M660" s="2">
        <v>163510</v>
      </c>
      <c r="N660" s="2" t="s">
        <v>2949</v>
      </c>
      <c r="O660" t="s">
        <v>111</v>
      </c>
      <c r="P660" t="s">
        <v>90</v>
      </c>
      <c r="Q660" t="s">
        <v>79</v>
      </c>
      <c r="R660">
        <v>6.4</v>
      </c>
      <c r="S660" t="s">
        <v>2953</v>
      </c>
    </row>
    <row r="661" spans="1:19" x14ac:dyDescent="0.3">
      <c r="A661" t="s">
        <v>1670</v>
      </c>
      <c r="B661" t="s">
        <v>348</v>
      </c>
      <c r="C661" t="s">
        <v>277</v>
      </c>
      <c r="D661" t="s">
        <v>24</v>
      </c>
      <c r="E661">
        <v>55</v>
      </c>
      <c r="F661" t="s">
        <v>2947</v>
      </c>
      <c r="G661" t="s">
        <v>1661</v>
      </c>
      <c r="H661" t="s">
        <v>1662</v>
      </c>
      <c r="I661" t="s">
        <v>53</v>
      </c>
      <c r="J661" t="s">
        <v>1309</v>
      </c>
      <c r="K661" t="s">
        <v>28</v>
      </c>
      <c r="M661" s="2">
        <v>876015</v>
      </c>
      <c r="N661" s="2" t="s">
        <v>2950</v>
      </c>
      <c r="O661" t="s">
        <v>111</v>
      </c>
      <c r="P661" t="s">
        <v>90</v>
      </c>
      <c r="Q661" t="s">
        <v>79</v>
      </c>
      <c r="R661">
        <v>5.6</v>
      </c>
      <c r="S661" t="s">
        <v>2953</v>
      </c>
    </row>
    <row r="662" spans="1:19" x14ac:dyDescent="0.3">
      <c r="A662" t="s">
        <v>1672</v>
      </c>
      <c r="B662" t="s">
        <v>119</v>
      </c>
      <c r="C662" t="s">
        <v>133</v>
      </c>
      <c r="D662" t="s">
        <v>24</v>
      </c>
      <c r="E662">
        <v>42</v>
      </c>
      <c r="F662" t="s">
        <v>2946</v>
      </c>
      <c r="G662" t="s">
        <v>1664</v>
      </c>
      <c r="H662" t="s">
        <v>1665</v>
      </c>
      <c r="I662" t="s">
        <v>517</v>
      </c>
      <c r="J662" t="s">
        <v>440</v>
      </c>
      <c r="K662" t="s">
        <v>71</v>
      </c>
      <c r="L662" s="1">
        <v>43154</v>
      </c>
      <c r="M662" s="2">
        <v>682440</v>
      </c>
      <c r="N662" s="2" t="s">
        <v>2950</v>
      </c>
      <c r="O662" t="s">
        <v>253</v>
      </c>
      <c r="P662" t="s">
        <v>21</v>
      </c>
      <c r="Q662" t="s">
        <v>158</v>
      </c>
      <c r="R662">
        <v>8.1999999999999993</v>
      </c>
      <c r="S662" t="s">
        <v>2951</v>
      </c>
    </row>
    <row r="663" spans="1:19" x14ac:dyDescent="0.3">
      <c r="A663" t="s">
        <v>1674</v>
      </c>
      <c r="B663" t="s">
        <v>81</v>
      </c>
      <c r="C663" t="s">
        <v>120</v>
      </c>
      <c r="D663" t="s">
        <v>24</v>
      </c>
      <c r="E663">
        <v>44</v>
      </c>
      <c r="F663" t="s">
        <v>2946</v>
      </c>
      <c r="G663" t="s">
        <v>1667</v>
      </c>
      <c r="H663" t="s">
        <v>2775</v>
      </c>
      <c r="I663" t="s">
        <v>485</v>
      </c>
      <c r="J663" t="s">
        <v>262</v>
      </c>
      <c r="K663" t="s">
        <v>48</v>
      </c>
      <c r="L663" s="1">
        <v>42299</v>
      </c>
      <c r="M663" s="2">
        <v>884785</v>
      </c>
      <c r="N663" s="2" t="s">
        <v>2950</v>
      </c>
      <c r="O663" t="s">
        <v>216</v>
      </c>
      <c r="P663" t="s">
        <v>90</v>
      </c>
      <c r="Q663" t="s">
        <v>65</v>
      </c>
      <c r="R663">
        <v>10.6</v>
      </c>
      <c r="S663" t="s">
        <v>2951</v>
      </c>
    </row>
    <row r="664" spans="1:19" x14ac:dyDescent="0.3">
      <c r="A664" t="s">
        <v>1676</v>
      </c>
      <c r="B664" t="s">
        <v>145</v>
      </c>
      <c r="C664" t="s">
        <v>120</v>
      </c>
      <c r="D664" t="s">
        <v>45</v>
      </c>
      <c r="E664">
        <v>38</v>
      </c>
      <c r="F664" t="s">
        <v>2946</v>
      </c>
      <c r="G664" t="s">
        <v>1669</v>
      </c>
      <c r="H664" t="s">
        <v>2776</v>
      </c>
      <c r="I664" t="s">
        <v>53</v>
      </c>
      <c r="J664" t="s">
        <v>316</v>
      </c>
      <c r="K664" t="s">
        <v>48</v>
      </c>
      <c r="L664" s="1">
        <v>44579</v>
      </c>
      <c r="M664" s="2">
        <v>625154</v>
      </c>
      <c r="N664" s="2" t="s">
        <v>2950</v>
      </c>
      <c r="O664" t="s">
        <v>198</v>
      </c>
      <c r="P664" t="s">
        <v>353</v>
      </c>
      <c r="Q664" t="s">
        <v>79</v>
      </c>
      <c r="R664">
        <v>4.3</v>
      </c>
      <c r="S664" t="s">
        <v>2952</v>
      </c>
    </row>
    <row r="665" spans="1:19" x14ac:dyDescent="0.3">
      <c r="A665" t="s">
        <v>1677</v>
      </c>
      <c r="B665" t="s">
        <v>310</v>
      </c>
      <c r="C665" t="s">
        <v>155</v>
      </c>
      <c r="D665" t="s">
        <v>24</v>
      </c>
      <c r="E665">
        <v>35</v>
      </c>
      <c r="F665" t="s">
        <v>2946</v>
      </c>
      <c r="G665" t="s">
        <v>1671</v>
      </c>
      <c r="H665" t="s">
        <v>2369</v>
      </c>
      <c r="I665" t="s">
        <v>517</v>
      </c>
      <c r="J665" t="s">
        <v>433</v>
      </c>
      <c r="K665" t="s">
        <v>35</v>
      </c>
      <c r="M665" s="2">
        <v>428921</v>
      </c>
      <c r="N665" s="2" t="s">
        <v>2948</v>
      </c>
      <c r="O665" t="s">
        <v>130</v>
      </c>
      <c r="P665" t="s">
        <v>353</v>
      </c>
      <c r="Q665" t="s">
        <v>244</v>
      </c>
      <c r="R665">
        <v>4.3</v>
      </c>
      <c r="S665" t="s">
        <v>2952</v>
      </c>
    </row>
    <row r="666" spans="1:19" x14ac:dyDescent="0.3">
      <c r="A666" t="s">
        <v>1679</v>
      </c>
      <c r="B666" t="s">
        <v>416</v>
      </c>
      <c r="C666" t="s">
        <v>229</v>
      </c>
      <c r="D666" t="s">
        <v>45</v>
      </c>
      <c r="E666">
        <v>50</v>
      </c>
      <c r="F666" t="s">
        <v>2947</v>
      </c>
      <c r="G666" t="s">
        <v>1673</v>
      </c>
      <c r="H666" t="s">
        <v>2777</v>
      </c>
      <c r="I666" t="s">
        <v>53</v>
      </c>
      <c r="J666" t="s">
        <v>320</v>
      </c>
      <c r="K666" t="s">
        <v>71</v>
      </c>
      <c r="L666" s="1">
        <v>43624</v>
      </c>
      <c r="M666" s="2">
        <v>82650</v>
      </c>
      <c r="N666" s="2" t="s">
        <v>2949</v>
      </c>
      <c r="O666" t="s">
        <v>41</v>
      </c>
      <c r="P666" t="s">
        <v>152</v>
      </c>
      <c r="Q666" t="s">
        <v>65</v>
      </c>
      <c r="R666">
        <v>6.9</v>
      </c>
      <c r="S666" t="s">
        <v>2953</v>
      </c>
    </row>
    <row r="667" spans="1:19" x14ac:dyDescent="0.3">
      <c r="A667" t="s">
        <v>1681</v>
      </c>
      <c r="B667" t="s">
        <v>207</v>
      </c>
      <c r="C667" t="s">
        <v>141</v>
      </c>
      <c r="D667" t="s">
        <v>24</v>
      </c>
      <c r="E667">
        <v>42</v>
      </c>
      <c r="F667" t="s">
        <v>2946</v>
      </c>
      <c r="G667" t="s">
        <v>1675</v>
      </c>
      <c r="H667" t="s">
        <v>2778</v>
      </c>
      <c r="I667" t="s">
        <v>209</v>
      </c>
      <c r="J667" t="s">
        <v>292</v>
      </c>
      <c r="K667" t="s">
        <v>28</v>
      </c>
      <c r="L667" s="1">
        <v>42081</v>
      </c>
      <c r="M667" s="2">
        <v>459212</v>
      </c>
      <c r="N667" s="2" t="s">
        <v>2948</v>
      </c>
      <c r="O667" t="s">
        <v>130</v>
      </c>
      <c r="P667" t="s">
        <v>353</v>
      </c>
      <c r="Q667" t="s">
        <v>79</v>
      </c>
      <c r="R667">
        <v>11.2</v>
      </c>
      <c r="S667" t="s">
        <v>2951</v>
      </c>
    </row>
    <row r="668" spans="1:19" x14ac:dyDescent="0.3">
      <c r="A668" t="s">
        <v>1683</v>
      </c>
      <c r="B668" t="s">
        <v>377</v>
      </c>
      <c r="C668" t="s">
        <v>362</v>
      </c>
      <c r="D668" t="s">
        <v>24</v>
      </c>
      <c r="F668" t="s">
        <v>2369</v>
      </c>
      <c r="G668" t="s">
        <v>2386</v>
      </c>
      <c r="H668" t="s">
        <v>2779</v>
      </c>
      <c r="I668" t="s">
        <v>209</v>
      </c>
      <c r="J668" t="s">
        <v>578</v>
      </c>
      <c r="K668" t="s">
        <v>28</v>
      </c>
      <c r="L668" s="1">
        <v>44721</v>
      </c>
      <c r="M668" s="2">
        <v>155242</v>
      </c>
      <c r="N668" s="2" t="s">
        <v>2949</v>
      </c>
      <c r="O668" t="s">
        <v>111</v>
      </c>
      <c r="P668" t="s">
        <v>90</v>
      </c>
      <c r="Q668" t="s">
        <v>72</v>
      </c>
      <c r="R668">
        <v>3.9</v>
      </c>
      <c r="S668" t="s">
        <v>2952</v>
      </c>
    </row>
    <row r="669" spans="1:19" x14ac:dyDescent="0.3">
      <c r="A669" t="s">
        <v>1686</v>
      </c>
      <c r="B669" t="s">
        <v>187</v>
      </c>
      <c r="C669" t="s">
        <v>183</v>
      </c>
      <c r="D669" t="s">
        <v>24</v>
      </c>
      <c r="E669">
        <v>29</v>
      </c>
      <c r="F669" t="s">
        <v>2945</v>
      </c>
      <c r="G669" t="s">
        <v>1678</v>
      </c>
      <c r="H669" t="s">
        <v>2780</v>
      </c>
      <c r="I669" t="s">
        <v>53</v>
      </c>
      <c r="J669" t="s">
        <v>373</v>
      </c>
      <c r="K669" t="s">
        <v>28</v>
      </c>
      <c r="L669" s="1">
        <v>43080</v>
      </c>
      <c r="M669" s="2">
        <v>738578</v>
      </c>
      <c r="N669" s="2" t="s">
        <v>2950</v>
      </c>
      <c r="O669" t="s">
        <v>41</v>
      </c>
      <c r="P669" t="s">
        <v>205</v>
      </c>
      <c r="Q669" t="s">
        <v>158</v>
      </c>
      <c r="R669">
        <v>8.4</v>
      </c>
      <c r="S669" t="s">
        <v>2951</v>
      </c>
    </row>
    <row r="670" spans="1:19" x14ac:dyDescent="0.3">
      <c r="A670" t="s">
        <v>1689</v>
      </c>
      <c r="B670" t="s">
        <v>190</v>
      </c>
      <c r="C670" t="s">
        <v>176</v>
      </c>
      <c r="D670" t="s">
        <v>24</v>
      </c>
      <c r="E670">
        <v>26</v>
      </c>
      <c r="F670" t="s">
        <v>2945</v>
      </c>
      <c r="G670" t="s">
        <v>1680</v>
      </c>
      <c r="H670" t="s">
        <v>2781</v>
      </c>
      <c r="I670" t="s">
        <v>209</v>
      </c>
      <c r="J670" t="s">
        <v>589</v>
      </c>
      <c r="K670" t="s">
        <v>28</v>
      </c>
      <c r="L670" s="1">
        <v>42417</v>
      </c>
      <c r="M670" s="2">
        <v>100232</v>
      </c>
      <c r="N670" s="2" t="s">
        <v>2949</v>
      </c>
      <c r="O670" t="s">
        <v>41</v>
      </c>
      <c r="P670" t="s">
        <v>152</v>
      </c>
      <c r="Q670" t="s">
        <v>72</v>
      </c>
      <c r="R670">
        <v>10.199999999999999</v>
      </c>
      <c r="S670" t="s">
        <v>2951</v>
      </c>
    </row>
    <row r="671" spans="1:19" x14ac:dyDescent="0.3">
      <c r="A671" t="s">
        <v>1690</v>
      </c>
      <c r="B671" t="s">
        <v>56</v>
      </c>
      <c r="C671" t="s">
        <v>120</v>
      </c>
      <c r="D671" t="s">
        <v>45</v>
      </c>
      <c r="E671">
        <v>30</v>
      </c>
      <c r="F671" t="s">
        <v>2945</v>
      </c>
      <c r="G671" t="s">
        <v>1682</v>
      </c>
      <c r="H671" t="s">
        <v>2782</v>
      </c>
      <c r="I671" t="s">
        <v>368</v>
      </c>
      <c r="J671" t="s">
        <v>215</v>
      </c>
      <c r="K671" t="s">
        <v>28</v>
      </c>
      <c r="L671" s="1">
        <v>43866</v>
      </c>
      <c r="M671" s="2">
        <v>214309</v>
      </c>
      <c r="N671" s="2" t="s">
        <v>2948</v>
      </c>
      <c r="O671" t="s">
        <v>41</v>
      </c>
      <c r="P671" t="s">
        <v>152</v>
      </c>
      <c r="Q671" t="s">
        <v>158</v>
      </c>
      <c r="R671">
        <v>6.3</v>
      </c>
      <c r="S671" t="s">
        <v>2953</v>
      </c>
    </row>
    <row r="672" spans="1:19" x14ac:dyDescent="0.3">
      <c r="A672" t="s">
        <v>1692</v>
      </c>
      <c r="B672" t="s">
        <v>340</v>
      </c>
      <c r="C672" t="s">
        <v>108</v>
      </c>
      <c r="D672" t="s">
        <v>24</v>
      </c>
      <c r="E672">
        <v>45</v>
      </c>
      <c r="F672" t="s">
        <v>2946</v>
      </c>
      <c r="G672" t="s">
        <v>1684</v>
      </c>
      <c r="H672" t="s">
        <v>1685</v>
      </c>
      <c r="I672" t="s">
        <v>368</v>
      </c>
      <c r="J672" t="s">
        <v>455</v>
      </c>
      <c r="K672" t="s">
        <v>48</v>
      </c>
      <c r="L672" s="1">
        <v>44957</v>
      </c>
      <c r="M672" s="2">
        <v>319418</v>
      </c>
      <c r="N672" s="2" t="s">
        <v>2948</v>
      </c>
      <c r="O672" t="s">
        <v>130</v>
      </c>
      <c r="P672" t="s">
        <v>205</v>
      </c>
      <c r="Q672" t="s">
        <v>65</v>
      </c>
      <c r="R672">
        <v>3.3</v>
      </c>
      <c r="S672" t="s">
        <v>2952</v>
      </c>
    </row>
    <row r="673" spans="1:19" x14ac:dyDescent="0.3">
      <c r="A673" t="s">
        <v>1694</v>
      </c>
      <c r="B673" t="s">
        <v>103</v>
      </c>
      <c r="C673" t="s">
        <v>31</v>
      </c>
      <c r="D673" t="s">
        <v>24</v>
      </c>
      <c r="E673">
        <v>41</v>
      </c>
      <c r="F673" t="s">
        <v>2946</v>
      </c>
      <c r="G673" t="s">
        <v>1687</v>
      </c>
      <c r="H673" t="s">
        <v>1688</v>
      </c>
      <c r="I673" t="s">
        <v>53</v>
      </c>
      <c r="J673" t="s">
        <v>426</v>
      </c>
      <c r="K673" t="s">
        <v>28</v>
      </c>
      <c r="L673" s="1">
        <v>42606</v>
      </c>
      <c r="M673" s="2">
        <v>429329</v>
      </c>
      <c r="N673" s="2" t="s">
        <v>2948</v>
      </c>
      <c r="O673" t="s">
        <v>253</v>
      </c>
      <c r="P673" t="s">
        <v>205</v>
      </c>
      <c r="Q673" t="s">
        <v>244</v>
      </c>
      <c r="R673">
        <v>9.6999999999999993</v>
      </c>
      <c r="S673" t="s">
        <v>2951</v>
      </c>
    </row>
    <row r="674" spans="1:19" x14ac:dyDescent="0.3">
      <c r="A674" t="s">
        <v>1696</v>
      </c>
      <c r="B674" t="s">
        <v>85</v>
      </c>
      <c r="C674" t="s">
        <v>114</v>
      </c>
      <c r="D674" t="s">
        <v>45</v>
      </c>
      <c r="E674">
        <v>46</v>
      </c>
      <c r="F674" t="s">
        <v>2947</v>
      </c>
      <c r="G674" t="s">
        <v>2452</v>
      </c>
      <c r="H674" t="s">
        <v>2783</v>
      </c>
      <c r="I674" t="s">
        <v>394</v>
      </c>
      <c r="J674" t="s">
        <v>231</v>
      </c>
      <c r="K674" t="s">
        <v>48</v>
      </c>
      <c r="M674" s="2">
        <v>352808</v>
      </c>
      <c r="N674" s="2" t="s">
        <v>2948</v>
      </c>
      <c r="O674" t="s">
        <v>41</v>
      </c>
      <c r="P674" t="s">
        <v>205</v>
      </c>
      <c r="Q674" t="s">
        <v>79</v>
      </c>
      <c r="R674">
        <v>10.5</v>
      </c>
      <c r="S674" t="s">
        <v>2951</v>
      </c>
    </row>
    <row r="675" spans="1:19" x14ac:dyDescent="0.3">
      <c r="A675" t="s">
        <v>1698</v>
      </c>
      <c r="B675" t="s">
        <v>416</v>
      </c>
      <c r="C675" t="s">
        <v>120</v>
      </c>
      <c r="D675" t="s">
        <v>45</v>
      </c>
      <c r="E675">
        <v>48</v>
      </c>
      <c r="F675" t="s">
        <v>2947</v>
      </c>
      <c r="G675" t="s">
        <v>1691</v>
      </c>
      <c r="H675" t="s">
        <v>2784</v>
      </c>
      <c r="I675" t="s">
        <v>517</v>
      </c>
      <c r="J675" t="s">
        <v>239</v>
      </c>
      <c r="K675" t="s">
        <v>48</v>
      </c>
      <c r="L675" s="1">
        <v>42274</v>
      </c>
      <c r="M675" s="2">
        <v>747427</v>
      </c>
      <c r="N675" s="2" t="s">
        <v>2950</v>
      </c>
      <c r="O675" t="s">
        <v>130</v>
      </c>
      <c r="P675" t="s">
        <v>353</v>
      </c>
      <c r="Q675" t="s">
        <v>65</v>
      </c>
      <c r="R675">
        <v>10.6</v>
      </c>
      <c r="S675" t="s">
        <v>2951</v>
      </c>
    </row>
    <row r="676" spans="1:19" x14ac:dyDescent="0.3">
      <c r="A676" t="s">
        <v>1699</v>
      </c>
      <c r="B676" t="s">
        <v>224</v>
      </c>
      <c r="C676" t="s">
        <v>31</v>
      </c>
      <c r="D676" t="s">
        <v>24</v>
      </c>
      <c r="E676">
        <v>29</v>
      </c>
      <c r="F676" t="s">
        <v>2945</v>
      </c>
      <c r="G676" t="s">
        <v>1693</v>
      </c>
      <c r="H676" t="s">
        <v>2785</v>
      </c>
      <c r="I676" t="s">
        <v>368</v>
      </c>
      <c r="J676" t="s">
        <v>227</v>
      </c>
      <c r="K676" t="s">
        <v>28</v>
      </c>
      <c r="L676" s="1">
        <v>42540</v>
      </c>
      <c r="M676" s="2">
        <v>432628</v>
      </c>
      <c r="N676" s="2" t="s">
        <v>2948</v>
      </c>
      <c r="O676" t="s">
        <v>130</v>
      </c>
      <c r="P676" t="s">
        <v>152</v>
      </c>
      <c r="Q676" t="s">
        <v>158</v>
      </c>
      <c r="R676">
        <v>9.9</v>
      </c>
      <c r="S676" t="s">
        <v>2951</v>
      </c>
    </row>
    <row r="677" spans="1:19" x14ac:dyDescent="0.3">
      <c r="A677" t="s">
        <v>1701</v>
      </c>
      <c r="B677" t="s">
        <v>297</v>
      </c>
      <c r="C677" t="s">
        <v>318</v>
      </c>
      <c r="D677" t="s">
        <v>24</v>
      </c>
      <c r="E677">
        <v>34</v>
      </c>
      <c r="F677" t="s">
        <v>2946</v>
      </c>
      <c r="G677" t="s">
        <v>1695</v>
      </c>
      <c r="H677" t="s">
        <v>2369</v>
      </c>
      <c r="I677" t="s">
        <v>53</v>
      </c>
      <c r="J677" t="s">
        <v>712</v>
      </c>
      <c r="K677" t="s">
        <v>48</v>
      </c>
      <c r="L677" s="1">
        <v>44476</v>
      </c>
      <c r="M677" s="2">
        <v>323170</v>
      </c>
      <c r="N677" s="2" t="s">
        <v>2948</v>
      </c>
      <c r="O677" t="s">
        <v>111</v>
      </c>
      <c r="P677" t="s">
        <v>205</v>
      </c>
      <c r="Q677" t="s">
        <v>65</v>
      </c>
      <c r="R677">
        <v>4.5999999999999996</v>
      </c>
      <c r="S677" t="s">
        <v>2952</v>
      </c>
    </row>
    <row r="678" spans="1:19" x14ac:dyDescent="0.3">
      <c r="A678" t="s">
        <v>1703</v>
      </c>
      <c r="B678" t="s">
        <v>416</v>
      </c>
      <c r="C678" t="s">
        <v>82</v>
      </c>
      <c r="D678" t="s">
        <v>24</v>
      </c>
      <c r="E678">
        <v>51</v>
      </c>
      <c r="F678" t="s">
        <v>2947</v>
      </c>
      <c r="G678" t="s">
        <v>1697</v>
      </c>
      <c r="H678" t="s">
        <v>2369</v>
      </c>
      <c r="I678" t="s">
        <v>209</v>
      </c>
      <c r="J678" t="s">
        <v>616</v>
      </c>
      <c r="K678" t="s">
        <v>71</v>
      </c>
      <c r="L678" s="1">
        <v>42908</v>
      </c>
      <c r="M678" s="2">
        <v>435335</v>
      </c>
      <c r="N678" s="2" t="s">
        <v>2948</v>
      </c>
      <c r="O678" t="s">
        <v>111</v>
      </c>
      <c r="P678" t="s">
        <v>90</v>
      </c>
      <c r="Q678" t="s">
        <v>72</v>
      </c>
      <c r="R678">
        <v>8.9</v>
      </c>
      <c r="S678" t="s">
        <v>2951</v>
      </c>
    </row>
    <row r="679" spans="1:19" x14ac:dyDescent="0.3">
      <c r="A679" t="s">
        <v>1705</v>
      </c>
      <c r="B679" t="s">
        <v>359</v>
      </c>
      <c r="C679" t="s">
        <v>277</v>
      </c>
      <c r="D679" t="s">
        <v>24</v>
      </c>
      <c r="E679">
        <v>51</v>
      </c>
      <c r="F679" t="s">
        <v>2947</v>
      </c>
      <c r="G679" t="s">
        <v>1020</v>
      </c>
      <c r="H679" t="s">
        <v>2369</v>
      </c>
      <c r="I679" t="s">
        <v>592</v>
      </c>
      <c r="J679" t="s">
        <v>742</v>
      </c>
      <c r="K679" t="s">
        <v>48</v>
      </c>
      <c r="L679" s="1">
        <v>43275</v>
      </c>
      <c r="M679" s="2">
        <v>420365</v>
      </c>
      <c r="N679" s="2" t="s">
        <v>2948</v>
      </c>
      <c r="O679" t="s">
        <v>41</v>
      </c>
      <c r="P679" t="s">
        <v>353</v>
      </c>
      <c r="Q679" t="s">
        <v>79</v>
      </c>
      <c r="R679">
        <v>7.9</v>
      </c>
      <c r="S679" t="s">
        <v>2953</v>
      </c>
    </row>
    <row r="680" spans="1:19" x14ac:dyDescent="0.3">
      <c r="A680" t="s">
        <v>1707</v>
      </c>
      <c r="B680" t="s">
        <v>555</v>
      </c>
      <c r="C680" t="s">
        <v>475</v>
      </c>
      <c r="D680" t="s">
        <v>24</v>
      </c>
      <c r="E680">
        <v>45</v>
      </c>
      <c r="F680" t="s">
        <v>2946</v>
      </c>
      <c r="G680" t="s">
        <v>1700</v>
      </c>
      <c r="H680" t="s">
        <v>2786</v>
      </c>
      <c r="I680" t="s">
        <v>517</v>
      </c>
      <c r="J680" t="s">
        <v>1484</v>
      </c>
      <c r="K680" t="s">
        <v>71</v>
      </c>
      <c r="L680" s="1">
        <v>44439</v>
      </c>
      <c r="M680" s="2">
        <v>897313</v>
      </c>
      <c r="N680" s="2" t="s">
        <v>2950</v>
      </c>
      <c r="O680" t="s">
        <v>111</v>
      </c>
      <c r="P680" t="s">
        <v>90</v>
      </c>
      <c r="Q680" t="s">
        <v>65</v>
      </c>
      <c r="R680">
        <v>4.7</v>
      </c>
      <c r="S680" t="s">
        <v>2952</v>
      </c>
    </row>
    <row r="681" spans="1:19" x14ac:dyDescent="0.3">
      <c r="A681" t="s">
        <v>1709</v>
      </c>
      <c r="B681" t="s">
        <v>340</v>
      </c>
      <c r="C681" t="s">
        <v>86</v>
      </c>
      <c r="D681" t="s">
        <v>24</v>
      </c>
      <c r="E681">
        <v>33</v>
      </c>
      <c r="F681" t="s">
        <v>2946</v>
      </c>
      <c r="G681" t="s">
        <v>1702</v>
      </c>
      <c r="H681" t="s">
        <v>2787</v>
      </c>
      <c r="I681" t="s">
        <v>592</v>
      </c>
      <c r="J681" t="s">
        <v>247</v>
      </c>
      <c r="K681" t="s">
        <v>35</v>
      </c>
      <c r="L681" s="1">
        <v>45049</v>
      </c>
      <c r="M681" s="2">
        <v>706481</v>
      </c>
      <c r="N681" s="2" t="s">
        <v>2950</v>
      </c>
      <c r="O681" t="s">
        <v>216</v>
      </c>
      <c r="P681" t="s">
        <v>353</v>
      </c>
      <c r="Q681" t="s">
        <v>79</v>
      </c>
      <c r="R681">
        <v>3.2</v>
      </c>
      <c r="S681" t="s">
        <v>2952</v>
      </c>
    </row>
    <row r="682" spans="1:19" x14ac:dyDescent="0.3">
      <c r="A682" t="s">
        <v>1711</v>
      </c>
      <c r="B682" t="s">
        <v>119</v>
      </c>
      <c r="C682" t="s">
        <v>336</v>
      </c>
      <c r="D682" t="s">
        <v>24</v>
      </c>
      <c r="E682">
        <v>48</v>
      </c>
      <c r="F682" t="s">
        <v>2947</v>
      </c>
      <c r="G682" t="s">
        <v>1704</v>
      </c>
      <c r="H682" t="s">
        <v>2788</v>
      </c>
      <c r="I682" t="s">
        <v>592</v>
      </c>
      <c r="J682" t="s">
        <v>522</v>
      </c>
      <c r="K682" t="s">
        <v>48</v>
      </c>
      <c r="M682" s="2">
        <v>114059</v>
      </c>
      <c r="N682" s="2" t="s">
        <v>2949</v>
      </c>
      <c r="O682" t="s">
        <v>111</v>
      </c>
      <c r="P682" t="s">
        <v>152</v>
      </c>
      <c r="Q682" t="s">
        <v>65</v>
      </c>
      <c r="R682">
        <v>4</v>
      </c>
      <c r="S682" t="s">
        <v>2952</v>
      </c>
    </row>
    <row r="683" spans="1:19" x14ac:dyDescent="0.3">
      <c r="A683" t="s">
        <v>1713</v>
      </c>
      <c r="B683" t="s">
        <v>175</v>
      </c>
      <c r="C683" t="s">
        <v>44</v>
      </c>
      <c r="D683" t="s">
        <v>24</v>
      </c>
      <c r="E683">
        <v>46</v>
      </c>
      <c r="F683" t="s">
        <v>2947</v>
      </c>
      <c r="G683" t="s">
        <v>1706</v>
      </c>
      <c r="H683" t="s">
        <v>2789</v>
      </c>
      <c r="I683" t="s">
        <v>235</v>
      </c>
      <c r="J683" t="s">
        <v>445</v>
      </c>
      <c r="K683" t="s">
        <v>48</v>
      </c>
      <c r="L683" s="1">
        <v>42203</v>
      </c>
      <c r="M683" s="2">
        <v>114609</v>
      </c>
      <c r="N683" s="2" t="s">
        <v>2949</v>
      </c>
      <c r="O683" t="s">
        <v>111</v>
      </c>
      <c r="P683" t="s">
        <v>21</v>
      </c>
      <c r="Q683" t="s">
        <v>244</v>
      </c>
      <c r="R683">
        <v>10.8</v>
      </c>
      <c r="S683" t="s">
        <v>2951</v>
      </c>
    </row>
    <row r="684" spans="1:19" x14ac:dyDescent="0.3">
      <c r="A684" t="s">
        <v>1714</v>
      </c>
      <c r="B684" t="s">
        <v>37</v>
      </c>
      <c r="C684" t="s">
        <v>213</v>
      </c>
      <c r="D684" t="s">
        <v>45</v>
      </c>
      <c r="E684">
        <v>26</v>
      </c>
      <c r="F684" t="s">
        <v>2945</v>
      </c>
      <c r="G684" t="s">
        <v>1708</v>
      </c>
      <c r="H684" t="s">
        <v>2790</v>
      </c>
      <c r="I684" t="s">
        <v>235</v>
      </c>
      <c r="J684" t="s">
        <v>528</v>
      </c>
      <c r="K684" t="s">
        <v>28</v>
      </c>
      <c r="L684" s="1">
        <v>42506</v>
      </c>
      <c r="M684" s="2">
        <v>341207</v>
      </c>
      <c r="N684" s="2" t="s">
        <v>2948</v>
      </c>
      <c r="O684" t="s">
        <v>111</v>
      </c>
      <c r="P684" t="s">
        <v>90</v>
      </c>
      <c r="Q684" t="s">
        <v>79</v>
      </c>
      <c r="R684">
        <v>10</v>
      </c>
      <c r="S684" t="s">
        <v>2951</v>
      </c>
    </row>
    <row r="685" spans="1:19" x14ac:dyDescent="0.3">
      <c r="A685" t="s">
        <v>1716</v>
      </c>
      <c r="B685" t="s">
        <v>154</v>
      </c>
      <c r="C685" t="s">
        <v>408</v>
      </c>
      <c r="D685" t="s">
        <v>45</v>
      </c>
      <c r="E685">
        <v>42</v>
      </c>
      <c r="F685" t="s">
        <v>2946</v>
      </c>
      <c r="G685" t="s">
        <v>1710</v>
      </c>
      <c r="H685" t="s">
        <v>2791</v>
      </c>
      <c r="I685" t="s">
        <v>53</v>
      </c>
      <c r="J685" t="s">
        <v>1472</v>
      </c>
      <c r="K685" t="s">
        <v>48</v>
      </c>
      <c r="L685" s="1">
        <v>42023</v>
      </c>
      <c r="M685" s="2">
        <v>100327</v>
      </c>
      <c r="N685" s="2" t="s">
        <v>2949</v>
      </c>
      <c r="O685" t="s">
        <v>198</v>
      </c>
      <c r="P685" t="s">
        <v>21</v>
      </c>
      <c r="Q685" t="s">
        <v>158</v>
      </c>
      <c r="R685">
        <v>11.3</v>
      </c>
      <c r="S685" t="s">
        <v>2951</v>
      </c>
    </row>
    <row r="686" spans="1:19" x14ac:dyDescent="0.3">
      <c r="A686" t="s">
        <v>1718</v>
      </c>
      <c r="B686" t="s">
        <v>359</v>
      </c>
      <c r="C686" t="s">
        <v>133</v>
      </c>
      <c r="D686" t="s">
        <v>24</v>
      </c>
      <c r="E686">
        <v>43</v>
      </c>
      <c r="F686" t="s">
        <v>2946</v>
      </c>
      <c r="G686" t="s">
        <v>1712</v>
      </c>
      <c r="H686" t="s">
        <v>2792</v>
      </c>
      <c r="I686" t="s">
        <v>592</v>
      </c>
      <c r="J686" t="s">
        <v>34</v>
      </c>
      <c r="K686" t="s">
        <v>35</v>
      </c>
      <c r="L686" s="1">
        <v>44194</v>
      </c>
      <c r="M686" s="2">
        <v>884260</v>
      </c>
      <c r="N686" s="2" t="s">
        <v>2950</v>
      </c>
      <c r="O686" t="s">
        <v>111</v>
      </c>
      <c r="P686" t="s">
        <v>205</v>
      </c>
      <c r="Q686" t="s">
        <v>244</v>
      </c>
      <c r="R686">
        <v>5.4</v>
      </c>
      <c r="S686" t="s">
        <v>2953</v>
      </c>
    </row>
    <row r="687" spans="1:19" x14ac:dyDescent="0.3">
      <c r="A687" t="s">
        <v>1720</v>
      </c>
      <c r="B687" t="s">
        <v>416</v>
      </c>
      <c r="C687" t="s">
        <v>108</v>
      </c>
      <c r="D687" t="s">
        <v>45</v>
      </c>
      <c r="E687">
        <v>26</v>
      </c>
      <c r="F687" t="s">
        <v>2945</v>
      </c>
      <c r="G687" t="s">
        <v>2369</v>
      </c>
      <c r="H687" t="s">
        <v>2369</v>
      </c>
      <c r="I687" t="s">
        <v>100</v>
      </c>
      <c r="J687" t="s">
        <v>1248</v>
      </c>
      <c r="K687" t="s">
        <v>48</v>
      </c>
      <c r="L687" s="1">
        <v>42533</v>
      </c>
      <c r="M687" s="2">
        <v>447418</v>
      </c>
      <c r="N687" s="2" t="s">
        <v>2948</v>
      </c>
      <c r="O687" t="s">
        <v>111</v>
      </c>
      <c r="P687" t="s">
        <v>21</v>
      </c>
      <c r="Q687" t="s">
        <v>244</v>
      </c>
      <c r="R687">
        <v>9.9</v>
      </c>
      <c r="S687" t="s">
        <v>2951</v>
      </c>
    </row>
    <row r="688" spans="1:19" x14ac:dyDescent="0.3">
      <c r="A688" t="s">
        <v>1722</v>
      </c>
      <c r="B688" t="s">
        <v>412</v>
      </c>
      <c r="C688" t="s">
        <v>348</v>
      </c>
      <c r="D688" t="s">
        <v>45</v>
      </c>
      <c r="E688">
        <v>57</v>
      </c>
      <c r="F688" t="s">
        <v>2947</v>
      </c>
      <c r="G688" t="s">
        <v>1715</v>
      </c>
      <c r="H688" t="s">
        <v>2793</v>
      </c>
      <c r="I688" t="s">
        <v>271</v>
      </c>
      <c r="J688" t="s">
        <v>1330</v>
      </c>
      <c r="K688" t="s">
        <v>71</v>
      </c>
      <c r="L688" s="1">
        <v>42756</v>
      </c>
      <c r="M688" s="2">
        <v>393552</v>
      </c>
      <c r="N688" s="2" t="s">
        <v>2948</v>
      </c>
      <c r="O688" t="s">
        <v>111</v>
      </c>
      <c r="P688" t="s">
        <v>353</v>
      </c>
      <c r="Q688" t="s">
        <v>244</v>
      </c>
      <c r="R688">
        <v>9.3000000000000007</v>
      </c>
      <c r="S688" t="s">
        <v>2951</v>
      </c>
    </row>
    <row r="689" spans="1:19" x14ac:dyDescent="0.3">
      <c r="A689" t="s">
        <v>1724</v>
      </c>
      <c r="B689" t="s">
        <v>145</v>
      </c>
      <c r="C689" t="s">
        <v>287</v>
      </c>
      <c r="D689" t="s">
        <v>24</v>
      </c>
      <c r="E689">
        <v>41</v>
      </c>
      <c r="F689" t="s">
        <v>2946</v>
      </c>
      <c r="G689" t="s">
        <v>1717</v>
      </c>
      <c r="H689" t="s">
        <v>2794</v>
      </c>
      <c r="I689" t="s">
        <v>517</v>
      </c>
      <c r="J689" t="s">
        <v>635</v>
      </c>
      <c r="K689" t="s">
        <v>28</v>
      </c>
      <c r="L689" s="1">
        <v>43668</v>
      </c>
      <c r="M689" s="2">
        <v>8692.4500000000007</v>
      </c>
      <c r="N689" s="2" t="s">
        <v>2949</v>
      </c>
      <c r="O689" t="s">
        <v>216</v>
      </c>
      <c r="P689" t="s">
        <v>353</v>
      </c>
      <c r="Q689" t="s">
        <v>79</v>
      </c>
      <c r="R689">
        <v>6.8</v>
      </c>
      <c r="S689" t="s">
        <v>2953</v>
      </c>
    </row>
    <row r="690" spans="1:19" x14ac:dyDescent="0.3">
      <c r="A690" t="s">
        <v>1726</v>
      </c>
      <c r="B690" t="s">
        <v>187</v>
      </c>
      <c r="C690" t="s">
        <v>133</v>
      </c>
      <c r="D690" t="s">
        <v>24</v>
      </c>
      <c r="E690">
        <v>27</v>
      </c>
      <c r="F690" t="s">
        <v>2945</v>
      </c>
      <c r="G690" t="s">
        <v>1719</v>
      </c>
      <c r="H690" t="s">
        <v>2795</v>
      </c>
      <c r="I690" t="s">
        <v>592</v>
      </c>
      <c r="J690" t="s">
        <v>247</v>
      </c>
      <c r="K690" t="s">
        <v>71</v>
      </c>
      <c r="L690" s="1">
        <v>42950</v>
      </c>
      <c r="M690" s="2">
        <v>135628</v>
      </c>
      <c r="N690" s="2" t="s">
        <v>2949</v>
      </c>
      <c r="O690" t="s">
        <v>253</v>
      </c>
      <c r="P690" t="s">
        <v>205</v>
      </c>
      <c r="Q690" t="s">
        <v>244</v>
      </c>
      <c r="R690">
        <v>8.8000000000000007</v>
      </c>
      <c r="S690" t="s">
        <v>2951</v>
      </c>
    </row>
    <row r="691" spans="1:19" x14ac:dyDescent="0.3">
      <c r="A691" t="s">
        <v>1729</v>
      </c>
      <c r="B691" t="s">
        <v>301</v>
      </c>
      <c r="C691" t="s">
        <v>229</v>
      </c>
      <c r="D691" t="s">
        <v>45</v>
      </c>
      <c r="E691">
        <v>52</v>
      </c>
      <c r="F691" t="s">
        <v>2947</v>
      </c>
      <c r="G691" t="s">
        <v>1721</v>
      </c>
      <c r="H691" t="s">
        <v>2796</v>
      </c>
      <c r="I691" t="s">
        <v>485</v>
      </c>
      <c r="J691" t="s">
        <v>503</v>
      </c>
      <c r="K691" t="s">
        <v>71</v>
      </c>
      <c r="L691" s="1">
        <v>44808</v>
      </c>
      <c r="M691" s="2">
        <v>515618</v>
      </c>
      <c r="N691" s="2" t="s">
        <v>2950</v>
      </c>
      <c r="O691" t="s">
        <v>130</v>
      </c>
      <c r="P691" t="s">
        <v>21</v>
      </c>
      <c r="Q691" t="s">
        <v>79</v>
      </c>
      <c r="R691">
        <v>3.7</v>
      </c>
      <c r="S691" t="s">
        <v>2952</v>
      </c>
    </row>
    <row r="692" spans="1:19" x14ac:dyDescent="0.3">
      <c r="A692" t="s">
        <v>1730</v>
      </c>
      <c r="B692" t="s">
        <v>30</v>
      </c>
      <c r="C692" t="s">
        <v>68</v>
      </c>
      <c r="D692" t="s">
        <v>45</v>
      </c>
      <c r="E692">
        <v>31</v>
      </c>
      <c r="F692" t="s">
        <v>2946</v>
      </c>
      <c r="G692" t="s">
        <v>1723</v>
      </c>
      <c r="H692" t="s">
        <v>2369</v>
      </c>
      <c r="I692" t="s">
        <v>271</v>
      </c>
      <c r="K692" t="s">
        <v>28</v>
      </c>
      <c r="L692" s="1">
        <v>44023</v>
      </c>
      <c r="M692" s="2">
        <v>707773</v>
      </c>
      <c r="N692" s="2" t="s">
        <v>2950</v>
      </c>
      <c r="O692" t="s">
        <v>111</v>
      </c>
      <c r="P692" t="s">
        <v>152</v>
      </c>
      <c r="Q692" t="s">
        <v>244</v>
      </c>
      <c r="R692">
        <v>5.8</v>
      </c>
      <c r="S692" t="s">
        <v>2953</v>
      </c>
    </row>
    <row r="693" spans="1:19" x14ac:dyDescent="0.3">
      <c r="A693" t="s">
        <v>1733</v>
      </c>
      <c r="B693" t="s">
        <v>67</v>
      </c>
      <c r="C693" t="s">
        <v>93</v>
      </c>
      <c r="D693" t="s">
        <v>45</v>
      </c>
      <c r="E693">
        <v>28</v>
      </c>
      <c r="F693" t="s">
        <v>2945</v>
      </c>
      <c r="G693" t="s">
        <v>1725</v>
      </c>
      <c r="H693" t="s">
        <v>2797</v>
      </c>
      <c r="I693" t="s">
        <v>368</v>
      </c>
      <c r="J693" t="s">
        <v>20</v>
      </c>
      <c r="K693" t="s">
        <v>35</v>
      </c>
      <c r="L693" s="1">
        <v>43738</v>
      </c>
      <c r="M693" s="2">
        <v>405295</v>
      </c>
      <c r="N693" s="2" t="s">
        <v>2948</v>
      </c>
      <c r="O693" t="s">
        <v>41</v>
      </c>
      <c r="P693" t="s">
        <v>21</v>
      </c>
      <c r="Q693" t="s">
        <v>72</v>
      </c>
      <c r="R693">
        <v>6.6</v>
      </c>
      <c r="S693" t="s">
        <v>2953</v>
      </c>
    </row>
    <row r="694" spans="1:19" x14ac:dyDescent="0.3">
      <c r="A694" t="s">
        <v>1735</v>
      </c>
      <c r="B694" t="s">
        <v>259</v>
      </c>
      <c r="C694" t="s">
        <v>249</v>
      </c>
      <c r="D694" t="s">
        <v>24</v>
      </c>
      <c r="E694">
        <v>32</v>
      </c>
      <c r="F694" t="s">
        <v>2946</v>
      </c>
      <c r="G694" t="s">
        <v>1727</v>
      </c>
      <c r="H694" t="s">
        <v>1728</v>
      </c>
      <c r="I694" t="s">
        <v>394</v>
      </c>
      <c r="J694" t="s">
        <v>243</v>
      </c>
      <c r="K694" t="s">
        <v>48</v>
      </c>
      <c r="L694" s="1">
        <v>44436</v>
      </c>
      <c r="M694" s="2">
        <v>730798</v>
      </c>
      <c r="N694" s="2" t="s">
        <v>2950</v>
      </c>
      <c r="O694" t="s">
        <v>216</v>
      </c>
      <c r="P694" t="s">
        <v>152</v>
      </c>
      <c r="Q694" t="s">
        <v>72</v>
      </c>
      <c r="R694">
        <v>4.7</v>
      </c>
      <c r="S694" t="s">
        <v>2952</v>
      </c>
    </row>
    <row r="695" spans="1:19" x14ac:dyDescent="0.3">
      <c r="A695" t="s">
        <v>1737</v>
      </c>
      <c r="B695" t="s">
        <v>17</v>
      </c>
      <c r="C695" t="s">
        <v>229</v>
      </c>
      <c r="D695" t="s">
        <v>24</v>
      </c>
      <c r="E695">
        <v>49</v>
      </c>
      <c r="F695" t="s">
        <v>2947</v>
      </c>
      <c r="G695" t="s">
        <v>2387</v>
      </c>
      <c r="H695" t="s">
        <v>2798</v>
      </c>
      <c r="I695" t="s">
        <v>100</v>
      </c>
      <c r="J695" t="s">
        <v>173</v>
      </c>
      <c r="K695" t="s">
        <v>71</v>
      </c>
      <c r="L695" s="1">
        <v>43012</v>
      </c>
      <c r="M695" s="2">
        <v>98297</v>
      </c>
      <c r="N695" s="2" t="s">
        <v>2949</v>
      </c>
      <c r="O695" t="s">
        <v>111</v>
      </c>
      <c r="P695" t="s">
        <v>205</v>
      </c>
      <c r="Q695" t="s">
        <v>79</v>
      </c>
      <c r="R695">
        <v>8.6</v>
      </c>
      <c r="S695" t="s">
        <v>2951</v>
      </c>
    </row>
    <row r="696" spans="1:19" x14ac:dyDescent="0.3">
      <c r="A696" t="s">
        <v>2346</v>
      </c>
      <c r="B696" t="s">
        <v>555</v>
      </c>
      <c r="C696" t="s">
        <v>120</v>
      </c>
      <c r="D696" t="s">
        <v>24</v>
      </c>
      <c r="E696">
        <v>31</v>
      </c>
      <c r="F696" t="s">
        <v>2946</v>
      </c>
      <c r="G696" t="s">
        <v>1731</v>
      </c>
      <c r="H696" t="s">
        <v>1732</v>
      </c>
      <c r="I696" t="s">
        <v>271</v>
      </c>
      <c r="J696" t="s">
        <v>489</v>
      </c>
      <c r="K696" t="s">
        <v>48</v>
      </c>
      <c r="L696" s="1">
        <v>42891</v>
      </c>
      <c r="N696" s="2" t="s">
        <v>2369</v>
      </c>
      <c r="O696" t="s">
        <v>111</v>
      </c>
      <c r="P696" t="s">
        <v>205</v>
      </c>
      <c r="Q696" t="s">
        <v>79</v>
      </c>
      <c r="R696">
        <v>8.9</v>
      </c>
      <c r="S696" t="s">
        <v>2951</v>
      </c>
    </row>
    <row r="697" spans="1:19" x14ac:dyDescent="0.3">
      <c r="A697" t="s">
        <v>1741</v>
      </c>
      <c r="B697" t="s">
        <v>124</v>
      </c>
      <c r="C697" t="s">
        <v>31</v>
      </c>
      <c r="D697" t="s">
        <v>24</v>
      </c>
      <c r="E697">
        <v>57</v>
      </c>
      <c r="F697" t="s">
        <v>2947</v>
      </c>
      <c r="G697" t="s">
        <v>1734</v>
      </c>
      <c r="H697" t="s">
        <v>2369</v>
      </c>
      <c r="I697" t="s">
        <v>100</v>
      </c>
      <c r="J697" t="s">
        <v>421</v>
      </c>
      <c r="K697" t="s">
        <v>28</v>
      </c>
      <c r="L697" s="1">
        <v>44970</v>
      </c>
      <c r="M697" s="2">
        <v>7493250</v>
      </c>
      <c r="N697" s="2" t="s">
        <v>2950</v>
      </c>
      <c r="O697" t="s">
        <v>41</v>
      </c>
      <c r="P697" t="s">
        <v>152</v>
      </c>
      <c r="Q697" t="s">
        <v>72</v>
      </c>
      <c r="R697">
        <v>3.2</v>
      </c>
      <c r="S697" t="s">
        <v>2952</v>
      </c>
    </row>
    <row r="698" spans="1:19" x14ac:dyDescent="0.3">
      <c r="A698" t="s">
        <v>1743</v>
      </c>
      <c r="B698" t="s">
        <v>141</v>
      </c>
      <c r="C698" t="s">
        <v>273</v>
      </c>
      <c r="D698" t="s">
        <v>24</v>
      </c>
      <c r="E698">
        <v>45</v>
      </c>
      <c r="F698" t="s">
        <v>2946</v>
      </c>
      <c r="G698" t="s">
        <v>1736</v>
      </c>
      <c r="H698" t="s">
        <v>2799</v>
      </c>
      <c r="I698" t="s">
        <v>53</v>
      </c>
      <c r="J698" t="s">
        <v>252</v>
      </c>
      <c r="K698" t="s">
        <v>48</v>
      </c>
      <c r="L698" s="1">
        <v>43716</v>
      </c>
      <c r="M698" s="2">
        <v>551272</v>
      </c>
      <c r="N698" s="2" t="s">
        <v>2950</v>
      </c>
      <c r="O698" t="s">
        <v>130</v>
      </c>
      <c r="P698" t="s">
        <v>205</v>
      </c>
      <c r="Q698" t="s">
        <v>72</v>
      </c>
      <c r="R698">
        <v>6.7</v>
      </c>
      <c r="S698" t="s">
        <v>2953</v>
      </c>
    </row>
    <row r="699" spans="1:19" x14ac:dyDescent="0.3">
      <c r="A699" t="s">
        <v>1745</v>
      </c>
      <c r="B699" t="s">
        <v>190</v>
      </c>
      <c r="C699" t="s">
        <v>221</v>
      </c>
      <c r="D699" t="s">
        <v>24</v>
      </c>
      <c r="E699">
        <v>57</v>
      </c>
      <c r="F699" t="s">
        <v>2947</v>
      </c>
      <c r="G699" t="s">
        <v>1738</v>
      </c>
      <c r="H699" t="s">
        <v>2369</v>
      </c>
      <c r="I699" t="s">
        <v>235</v>
      </c>
      <c r="J699" t="s">
        <v>1223</v>
      </c>
      <c r="K699" t="s">
        <v>35</v>
      </c>
      <c r="L699" s="1">
        <v>44033</v>
      </c>
      <c r="M699" s="2">
        <v>800909</v>
      </c>
      <c r="N699" s="2" t="s">
        <v>2950</v>
      </c>
      <c r="O699" t="s">
        <v>130</v>
      </c>
      <c r="P699" t="s">
        <v>152</v>
      </c>
      <c r="Q699" t="s">
        <v>79</v>
      </c>
      <c r="R699">
        <v>5.8</v>
      </c>
      <c r="S699" t="s">
        <v>2953</v>
      </c>
    </row>
    <row r="700" spans="1:19" x14ac:dyDescent="0.3">
      <c r="A700" t="s">
        <v>1748</v>
      </c>
      <c r="B700" t="s">
        <v>340</v>
      </c>
      <c r="C700" t="s">
        <v>176</v>
      </c>
      <c r="D700" t="s">
        <v>45</v>
      </c>
      <c r="E700">
        <v>25</v>
      </c>
      <c r="F700" t="s">
        <v>2945</v>
      </c>
      <c r="G700" t="s">
        <v>1739</v>
      </c>
      <c r="H700" t="s">
        <v>1740</v>
      </c>
      <c r="I700" t="s">
        <v>394</v>
      </c>
      <c r="J700" t="s">
        <v>84</v>
      </c>
      <c r="K700" t="s">
        <v>71</v>
      </c>
      <c r="M700" s="2">
        <v>889969</v>
      </c>
      <c r="N700" s="2" t="s">
        <v>2950</v>
      </c>
      <c r="O700" t="s">
        <v>216</v>
      </c>
      <c r="P700" t="s">
        <v>152</v>
      </c>
      <c r="Q700" t="s">
        <v>72</v>
      </c>
      <c r="R700">
        <v>8.9</v>
      </c>
      <c r="S700" t="s">
        <v>2951</v>
      </c>
    </row>
    <row r="701" spans="1:19" x14ac:dyDescent="0.3">
      <c r="A701" t="s">
        <v>1749</v>
      </c>
      <c r="B701" t="s">
        <v>187</v>
      </c>
      <c r="C701" t="s">
        <v>287</v>
      </c>
      <c r="D701" t="s">
        <v>24</v>
      </c>
      <c r="E701">
        <v>33</v>
      </c>
      <c r="F701" t="s">
        <v>2946</v>
      </c>
      <c r="G701" t="s">
        <v>1742</v>
      </c>
      <c r="H701" t="s">
        <v>2369</v>
      </c>
      <c r="I701" t="s">
        <v>592</v>
      </c>
      <c r="J701" t="s">
        <v>34</v>
      </c>
      <c r="K701" t="s">
        <v>35</v>
      </c>
      <c r="L701" s="1">
        <v>43854</v>
      </c>
      <c r="M701" s="2">
        <v>187043</v>
      </c>
      <c r="N701" s="2" t="s">
        <v>2949</v>
      </c>
      <c r="O701" t="s">
        <v>41</v>
      </c>
      <c r="P701" t="s">
        <v>205</v>
      </c>
      <c r="Q701" t="s">
        <v>158</v>
      </c>
      <c r="R701">
        <v>6.3</v>
      </c>
      <c r="S701" t="s">
        <v>2953</v>
      </c>
    </row>
    <row r="702" spans="1:19" x14ac:dyDescent="0.3">
      <c r="A702" t="s">
        <v>1751</v>
      </c>
      <c r="B702" t="s">
        <v>269</v>
      </c>
      <c r="C702" t="s">
        <v>348</v>
      </c>
      <c r="D702" t="s">
        <v>24</v>
      </c>
      <c r="E702">
        <v>57</v>
      </c>
      <c r="F702" t="s">
        <v>2947</v>
      </c>
      <c r="G702" t="s">
        <v>1744</v>
      </c>
      <c r="H702" t="s">
        <v>2800</v>
      </c>
      <c r="I702" t="s">
        <v>100</v>
      </c>
      <c r="J702" t="s">
        <v>603</v>
      </c>
      <c r="K702" t="s">
        <v>71</v>
      </c>
      <c r="L702" s="1">
        <v>42660</v>
      </c>
      <c r="M702" s="2">
        <v>352128</v>
      </c>
      <c r="N702" s="2" t="s">
        <v>2948</v>
      </c>
      <c r="O702" t="s">
        <v>253</v>
      </c>
      <c r="P702" t="s">
        <v>205</v>
      </c>
      <c r="Q702" t="s">
        <v>79</v>
      </c>
      <c r="R702">
        <v>9.6</v>
      </c>
      <c r="S702" t="s">
        <v>2951</v>
      </c>
    </row>
    <row r="703" spans="1:19" x14ac:dyDescent="0.3">
      <c r="A703" t="s">
        <v>1754</v>
      </c>
      <c r="B703" t="s">
        <v>347</v>
      </c>
      <c r="C703" t="s">
        <v>62</v>
      </c>
      <c r="D703" t="s">
        <v>24</v>
      </c>
      <c r="E703">
        <v>42</v>
      </c>
      <c r="F703" t="s">
        <v>2946</v>
      </c>
      <c r="G703" t="s">
        <v>1746</v>
      </c>
      <c r="H703" t="s">
        <v>1747</v>
      </c>
      <c r="I703" t="s">
        <v>209</v>
      </c>
      <c r="J703" t="s">
        <v>122</v>
      </c>
      <c r="K703" t="s">
        <v>71</v>
      </c>
      <c r="L703" s="1">
        <v>44526</v>
      </c>
      <c r="M703" s="2">
        <v>211276</v>
      </c>
      <c r="N703" s="2" t="s">
        <v>2948</v>
      </c>
      <c r="O703" t="s">
        <v>130</v>
      </c>
      <c r="P703" t="s">
        <v>21</v>
      </c>
      <c r="Q703" t="s">
        <v>244</v>
      </c>
      <c r="R703">
        <v>4.5</v>
      </c>
      <c r="S703" t="s">
        <v>2952</v>
      </c>
    </row>
    <row r="704" spans="1:19" x14ac:dyDescent="0.3">
      <c r="A704" t="s">
        <v>1756</v>
      </c>
      <c r="B704" t="s">
        <v>113</v>
      </c>
      <c r="C704" t="s">
        <v>318</v>
      </c>
      <c r="D704" t="s">
        <v>45</v>
      </c>
      <c r="E704">
        <v>54</v>
      </c>
      <c r="F704" t="s">
        <v>2947</v>
      </c>
      <c r="G704" t="s">
        <v>2410</v>
      </c>
      <c r="H704" t="s">
        <v>2801</v>
      </c>
      <c r="I704" t="s">
        <v>368</v>
      </c>
      <c r="J704" t="s">
        <v>796</v>
      </c>
      <c r="K704" t="s">
        <v>35</v>
      </c>
      <c r="L704" s="1">
        <v>42414</v>
      </c>
      <c r="M704" s="2">
        <v>390286</v>
      </c>
      <c r="N704" s="2" t="s">
        <v>2948</v>
      </c>
      <c r="O704" t="s">
        <v>253</v>
      </c>
      <c r="P704" t="s">
        <v>353</v>
      </c>
      <c r="Q704" t="s">
        <v>65</v>
      </c>
      <c r="R704">
        <v>10.199999999999999</v>
      </c>
      <c r="S704" t="s">
        <v>2951</v>
      </c>
    </row>
    <row r="705" spans="1:19" x14ac:dyDescent="0.3">
      <c r="A705" t="s">
        <v>1758</v>
      </c>
      <c r="B705" t="s">
        <v>17</v>
      </c>
      <c r="C705" t="s">
        <v>249</v>
      </c>
      <c r="D705" t="s">
        <v>24</v>
      </c>
      <c r="E705">
        <v>36</v>
      </c>
      <c r="F705" t="s">
        <v>2946</v>
      </c>
      <c r="G705" t="s">
        <v>1750</v>
      </c>
      <c r="H705" t="s">
        <v>2802</v>
      </c>
      <c r="I705" t="s">
        <v>394</v>
      </c>
      <c r="J705" t="s">
        <v>195</v>
      </c>
      <c r="K705" t="s">
        <v>35</v>
      </c>
      <c r="L705" s="1">
        <v>43583</v>
      </c>
      <c r="M705" s="2">
        <v>97743</v>
      </c>
      <c r="N705" s="2" t="s">
        <v>2949</v>
      </c>
      <c r="O705" t="s">
        <v>111</v>
      </c>
      <c r="P705" t="s">
        <v>21</v>
      </c>
      <c r="Q705" t="s">
        <v>244</v>
      </c>
      <c r="R705">
        <v>7</v>
      </c>
      <c r="S705" t="s">
        <v>2953</v>
      </c>
    </row>
    <row r="706" spans="1:19" x14ac:dyDescent="0.3">
      <c r="A706" t="s">
        <v>1760</v>
      </c>
      <c r="B706" t="s">
        <v>412</v>
      </c>
      <c r="C706" t="s">
        <v>277</v>
      </c>
      <c r="D706" t="s">
        <v>24</v>
      </c>
      <c r="E706">
        <v>25</v>
      </c>
      <c r="F706" t="s">
        <v>2945</v>
      </c>
      <c r="G706" t="s">
        <v>1752</v>
      </c>
      <c r="H706" t="s">
        <v>1753</v>
      </c>
      <c r="I706" t="s">
        <v>235</v>
      </c>
      <c r="J706" t="s">
        <v>89</v>
      </c>
      <c r="K706" t="s">
        <v>48</v>
      </c>
      <c r="L706" s="1">
        <v>42441</v>
      </c>
      <c r="M706" s="2">
        <v>106584</v>
      </c>
      <c r="N706" s="2" t="s">
        <v>2949</v>
      </c>
      <c r="O706" t="s">
        <v>111</v>
      </c>
      <c r="P706" t="s">
        <v>205</v>
      </c>
      <c r="Q706" t="s">
        <v>72</v>
      </c>
      <c r="R706">
        <v>10.199999999999999</v>
      </c>
      <c r="S706" t="s">
        <v>2951</v>
      </c>
    </row>
    <row r="707" spans="1:19" x14ac:dyDescent="0.3">
      <c r="A707" t="s">
        <v>1761</v>
      </c>
      <c r="B707" t="s">
        <v>377</v>
      </c>
      <c r="C707" t="s">
        <v>133</v>
      </c>
      <c r="D707" t="s">
        <v>24</v>
      </c>
      <c r="E707">
        <v>48</v>
      </c>
      <c r="F707" t="s">
        <v>2947</v>
      </c>
      <c r="G707" t="s">
        <v>1755</v>
      </c>
      <c r="H707" t="s">
        <v>2369</v>
      </c>
      <c r="I707" t="s">
        <v>53</v>
      </c>
      <c r="J707" t="s">
        <v>779</v>
      </c>
      <c r="K707" t="s">
        <v>35</v>
      </c>
      <c r="L707" s="1">
        <v>44317</v>
      </c>
      <c r="M707" s="2">
        <v>845891</v>
      </c>
      <c r="N707" s="2" t="s">
        <v>2950</v>
      </c>
      <c r="O707" t="s">
        <v>253</v>
      </c>
      <c r="P707" t="s">
        <v>205</v>
      </c>
      <c r="Q707" t="s">
        <v>158</v>
      </c>
      <c r="R707">
        <v>5</v>
      </c>
      <c r="S707" t="s">
        <v>2952</v>
      </c>
    </row>
    <row r="708" spans="1:19" x14ac:dyDescent="0.3">
      <c r="A708" t="s">
        <v>1763</v>
      </c>
      <c r="B708" t="s">
        <v>175</v>
      </c>
      <c r="C708" t="s">
        <v>31</v>
      </c>
      <c r="D708" t="s">
        <v>24</v>
      </c>
      <c r="E708">
        <v>55</v>
      </c>
      <c r="F708" t="s">
        <v>2947</v>
      </c>
      <c r="G708" t="s">
        <v>1757</v>
      </c>
      <c r="H708" t="s">
        <v>2803</v>
      </c>
      <c r="I708" t="s">
        <v>100</v>
      </c>
      <c r="J708" t="s">
        <v>357</v>
      </c>
      <c r="K708" t="s">
        <v>48</v>
      </c>
      <c r="M708" s="2">
        <v>445948</v>
      </c>
      <c r="N708" s="2" t="s">
        <v>2948</v>
      </c>
      <c r="O708" t="s">
        <v>41</v>
      </c>
      <c r="P708" t="s">
        <v>21</v>
      </c>
      <c r="Q708" t="s">
        <v>72</v>
      </c>
      <c r="R708">
        <v>5.0999999999999996</v>
      </c>
      <c r="S708" t="s">
        <v>2953</v>
      </c>
    </row>
    <row r="709" spans="1:19" x14ac:dyDescent="0.3">
      <c r="A709" t="s">
        <v>2347</v>
      </c>
      <c r="B709" t="s">
        <v>103</v>
      </c>
      <c r="C709" t="s">
        <v>408</v>
      </c>
      <c r="D709" t="s">
        <v>24</v>
      </c>
      <c r="E709">
        <v>38</v>
      </c>
      <c r="F709" t="s">
        <v>2946</v>
      </c>
      <c r="G709" t="s">
        <v>1759</v>
      </c>
      <c r="H709" t="s">
        <v>2369</v>
      </c>
      <c r="I709" t="s">
        <v>209</v>
      </c>
      <c r="J709" t="s">
        <v>616</v>
      </c>
      <c r="K709" t="s">
        <v>28</v>
      </c>
      <c r="L709" s="1">
        <v>43524</v>
      </c>
      <c r="N709" s="2" t="s">
        <v>2369</v>
      </c>
      <c r="O709" t="s">
        <v>130</v>
      </c>
      <c r="P709" t="s">
        <v>90</v>
      </c>
      <c r="Q709" t="s">
        <v>244</v>
      </c>
      <c r="R709">
        <v>7.2</v>
      </c>
      <c r="S709" t="s">
        <v>2953</v>
      </c>
    </row>
    <row r="710" spans="1:19" x14ac:dyDescent="0.3">
      <c r="A710" t="s">
        <v>1765</v>
      </c>
      <c r="B710" t="s">
        <v>347</v>
      </c>
      <c r="C710" t="s">
        <v>108</v>
      </c>
      <c r="D710" t="s">
        <v>24</v>
      </c>
      <c r="E710">
        <v>26</v>
      </c>
      <c r="F710" t="s">
        <v>2945</v>
      </c>
      <c r="G710" t="s">
        <v>1254</v>
      </c>
      <c r="H710" t="s">
        <v>2369</v>
      </c>
      <c r="I710" t="s">
        <v>368</v>
      </c>
      <c r="J710" t="s">
        <v>303</v>
      </c>
      <c r="K710" t="s">
        <v>28</v>
      </c>
      <c r="L710" s="1">
        <v>43343</v>
      </c>
      <c r="M710" s="2">
        <v>524735</v>
      </c>
      <c r="N710" s="2" t="s">
        <v>2950</v>
      </c>
      <c r="O710" t="s">
        <v>41</v>
      </c>
      <c r="P710" t="s">
        <v>152</v>
      </c>
      <c r="Q710" t="s">
        <v>65</v>
      </c>
      <c r="R710">
        <v>7.7</v>
      </c>
      <c r="S710" t="s">
        <v>2953</v>
      </c>
    </row>
    <row r="711" spans="1:19" x14ac:dyDescent="0.3">
      <c r="A711" t="s">
        <v>1766</v>
      </c>
      <c r="B711" t="s">
        <v>17</v>
      </c>
      <c r="C711" t="s">
        <v>68</v>
      </c>
      <c r="D711" t="s">
        <v>45</v>
      </c>
      <c r="E711">
        <v>48</v>
      </c>
      <c r="F711" t="s">
        <v>2947</v>
      </c>
      <c r="G711" t="s">
        <v>2369</v>
      </c>
      <c r="H711" t="s">
        <v>1762</v>
      </c>
      <c r="I711" t="s">
        <v>592</v>
      </c>
      <c r="J711" t="s">
        <v>1051</v>
      </c>
      <c r="K711" t="s">
        <v>28</v>
      </c>
      <c r="L711" s="1">
        <v>43491</v>
      </c>
      <c r="M711" s="2">
        <v>412409</v>
      </c>
      <c r="N711" s="2" t="s">
        <v>2948</v>
      </c>
      <c r="O711" t="s">
        <v>253</v>
      </c>
      <c r="P711" t="s">
        <v>152</v>
      </c>
      <c r="Q711" t="s">
        <v>244</v>
      </c>
      <c r="R711">
        <v>7.3</v>
      </c>
      <c r="S711" t="s">
        <v>2953</v>
      </c>
    </row>
    <row r="712" spans="1:19" x14ac:dyDescent="0.3">
      <c r="A712" t="s">
        <v>1767</v>
      </c>
      <c r="B712" t="s">
        <v>137</v>
      </c>
      <c r="C712" t="s">
        <v>183</v>
      </c>
      <c r="D712" t="s">
        <v>24</v>
      </c>
      <c r="E712">
        <v>36</v>
      </c>
      <c r="F712" t="s">
        <v>2946</v>
      </c>
      <c r="G712" t="s">
        <v>2388</v>
      </c>
      <c r="H712" t="s">
        <v>2369</v>
      </c>
      <c r="I712" t="s">
        <v>235</v>
      </c>
      <c r="J712" t="s">
        <v>445</v>
      </c>
      <c r="K712" t="s">
        <v>71</v>
      </c>
      <c r="L712" s="1">
        <v>44346</v>
      </c>
      <c r="M712" s="2">
        <v>849835</v>
      </c>
      <c r="N712" s="2" t="s">
        <v>2950</v>
      </c>
      <c r="O712" t="s">
        <v>111</v>
      </c>
      <c r="P712" t="s">
        <v>90</v>
      </c>
      <c r="Q712" t="s">
        <v>79</v>
      </c>
      <c r="R712">
        <v>5</v>
      </c>
      <c r="S712" t="s">
        <v>2952</v>
      </c>
    </row>
    <row r="713" spans="1:19" x14ac:dyDescent="0.3">
      <c r="A713" t="s">
        <v>1769</v>
      </c>
      <c r="B713" t="s">
        <v>377</v>
      </c>
      <c r="C713" t="s">
        <v>133</v>
      </c>
      <c r="D713" t="s">
        <v>24</v>
      </c>
      <c r="E713">
        <v>55</v>
      </c>
      <c r="F713" t="s">
        <v>2947</v>
      </c>
      <c r="G713" t="s">
        <v>1764</v>
      </c>
      <c r="H713" t="s">
        <v>2804</v>
      </c>
      <c r="I713" t="s">
        <v>368</v>
      </c>
      <c r="J713" t="s">
        <v>227</v>
      </c>
      <c r="K713" t="s">
        <v>28</v>
      </c>
      <c r="M713" s="2">
        <v>714388</v>
      </c>
      <c r="N713" s="2" t="s">
        <v>2950</v>
      </c>
      <c r="O713" t="s">
        <v>216</v>
      </c>
      <c r="P713" t="s">
        <v>353</v>
      </c>
      <c r="Q713" t="s">
        <v>65</v>
      </c>
      <c r="R713">
        <v>11.1</v>
      </c>
      <c r="S713" t="s">
        <v>2951</v>
      </c>
    </row>
    <row r="714" spans="1:19" x14ac:dyDescent="0.3">
      <c r="A714" t="s">
        <v>1771</v>
      </c>
      <c r="B714" t="s">
        <v>81</v>
      </c>
      <c r="C714" t="s">
        <v>161</v>
      </c>
      <c r="D714" t="s">
        <v>24</v>
      </c>
      <c r="E714">
        <v>51</v>
      </c>
      <c r="F714" t="s">
        <v>2947</v>
      </c>
      <c r="G714" t="s">
        <v>1635</v>
      </c>
      <c r="H714" t="s">
        <v>2805</v>
      </c>
      <c r="I714" t="s">
        <v>209</v>
      </c>
      <c r="J714" t="s">
        <v>292</v>
      </c>
      <c r="K714" t="s">
        <v>35</v>
      </c>
      <c r="N714" s="2" t="s">
        <v>2369</v>
      </c>
      <c r="O714" t="s">
        <v>253</v>
      </c>
      <c r="P714" t="s">
        <v>21</v>
      </c>
      <c r="Q714" t="s">
        <v>244</v>
      </c>
      <c r="R714">
        <v>8.8000000000000007</v>
      </c>
      <c r="S714" t="s">
        <v>2951</v>
      </c>
    </row>
    <row r="715" spans="1:19" x14ac:dyDescent="0.3">
      <c r="A715" t="s">
        <v>1773</v>
      </c>
      <c r="B715" t="s">
        <v>187</v>
      </c>
      <c r="C715" t="s">
        <v>287</v>
      </c>
      <c r="D715" t="s">
        <v>45</v>
      </c>
      <c r="E715">
        <v>31</v>
      </c>
      <c r="F715" t="s">
        <v>2946</v>
      </c>
      <c r="G715" t="s">
        <v>1742</v>
      </c>
      <c r="H715" t="s">
        <v>2806</v>
      </c>
      <c r="I715" t="s">
        <v>592</v>
      </c>
      <c r="J715" t="s">
        <v>110</v>
      </c>
      <c r="K715" t="s">
        <v>48</v>
      </c>
      <c r="L715" s="1">
        <v>44086</v>
      </c>
      <c r="M715" s="2">
        <v>813400</v>
      </c>
      <c r="N715" s="2" t="s">
        <v>2950</v>
      </c>
      <c r="O715" t="s">
        <v>130</v>
      </c>
      <c r="P715" t="s">
        <v>205</v>
      </c>
      <c r="Q715" t="s">
        <v>244</v>
      </c>
      <c r="R715">
        <v>5.7</v>
      </c>
      <c r="S715" t="s">
        <v>2953</v>
      </c>
    </row>
    <row r="716" spans="1:19" x14ac:dyDescent="0.3">
      <c r="A716" t="s">
        <v>1775</v>
      </c>
      <c r="B716" t="s">
        <v>81</v>
      </c>
      <c r="C716" t="s">
        <v>200</v>
      </c>
      <c r="D716" t="s">
        <v>45</v>
      </c>
      <c r="E716">
        <v>47</v>
      </c>
      <c r="F716" t="s">
        <v>2947</v>
      </c>
      <c r="G716" t="s">
        <v>1768</v>
      </c>
      <c r="H716" t="s">
        <v>2807</v>
      </c>
      <c r="I716" t="s">
        <v>592</v>
      </c>
      <c r="J716" t="s">
        <v>1051</v>
      </c>
      <c r="K716" t="s">
        <v>71</v>
      </c>
      <c r="L716" s="1">
        <v>42862</v>
      </c>
      <c r="M716" s="2">
        <v>739796</v>
      </c>
      <c r="N716" s="2" t="s">
        <v>2950</v>
      </c>
      <c r="O716" t="s">
        <v>130</v>
      </c>
      <c r="P716" t="s">
        <v>205</v>
      </c>
      <c r="Q716" t="s">
        <v>244</v>
      </c>
      <c r="R716">
        <v>9</v>
      </c>
      <c r="S716" t="s">
        <v>2951</v>
      </c>
    </row>
    <row r="717" spans="1:19" x14ac:dyDescent="0.3">
      <c r="A717" t="s">
        <v>1777</v>
      </c>
      <c r="B717" t="s">
        <v>326</v>
      </c>
      <c r="C717" t="s">
        <v>176</v>
      </c>
      <c r="D717" t="s">
        <v>24</v>
      </c>
      <c r="E717">
        <v>29</v>
      </c>
      <c r="F717" t="s">
        <v>2945</v>
      </c>
      <c r="G717" t="s">
        <v>2389</v>
      </c>
      <c r="H717" t="s">
        <v>1770</v>
      </c>
      <c r="I717" t="s">
        <v>517</v>
      </c>
      <c r="J717" t="s">
        <v>1183</v>
      </c>
      <c r="K717" t="s">
        <v>48</v>
      </c>
      <c r="L717" s="1">
        <v>42843</v>
      </c>
      <c r="M717" s="2">
        <v>682213</v>
      </c>
      <c r="N717" s="2" t="s">
        <v>2950</v>
      </c>
      <c r="O717" t="s">
        <v>216</v>
      </c>
      <c r="P717" t="s">
        <v>205</v>
      </c>
      <c r="Q717" t="s">
        <v>79</v>
      </c>
      <c r="R717">
        <v>9.1</v>
      </c>
      <c r="S717" t="s">
        <v>2951</v>
      </c>
    </row>
    <row r="718" spans="1:19" x14ac:dyDescent="0.3">
      <c r="A718" t="s">
        <v>1779</v>
      </c>
      <c r="B718" t="s">
        <v>224</v>
      </c>
      <c r="C718" t="s">
        <v>229</v>
      </c>
      <c r="D718" t="s">
        <v>45</v>
      </c>
      <c r="E718">
        <v>48</v>
      </c>
      <c r="F718" t="s">
        <v>2947</v>
      </c>
      <c r="G718" t="s">
        <v>1772</v>
      </c>
      <c r="H718" t="s">
        <v>2808</v>
      </c>
      <c r="I718" t="s">
        <v>271</v>
      </c>
      <c r="J718" t="s">
        <v>95</v>
      </c>
      <c r="K718" t="s">
        <v>71</v>
      </c>
      <c r="L718" s="1">
        <v>43231</v>
      </c>
      <c r="M718" s="2">
        <v>2296.33</v>
      </c>
      <c r="N718" s="2" t="s">
        <v>2949</v>
      </c>
      <c r="O718" t="s">
        <v>111</v>
      </c>
      <c r="P718" t="s">
        <v>152</v>
      </c>
      <c r="Q718" t="s">
        <v>244</v>
      </c>
      <c r="R718">
        <v>8</v>
      </c>
      <c r="S718" t="s">
        <v>2953</v>
      </c>
    </row>
    <row r="719" spans="1:19" x14ac:dyDescent="0.3">
      <c r="A719" t="s">
        <v>1781</v>
      </c>
      <c r="B719" t="s">
        <v>137</v>
      </c>
      <c r="C719" t="s">
        <v>516</v>
      </c>
      <c r="D719" t="s">
        <v>24</v>
      </c>
      <c r="F719" t="s">
        <v>2369</v>
      </c>
      <c r="G719" t="s">
        <v>1774</v>
      </c>
      <c r="H719" t="s">
        <v>2809</v>
      </c>
      <c r="I719" t="s">
        <v>394</v>
      </c>
      <c r="J719" t="s">
        <v>195</v>
      </c>
      <c r="K719" t="s">
        <v>48</v>
      </c>
      <c r="L719" s="1">
        <v>44869</v>
      </c>
      <c r="M719" s="2">
        <v>827748</v>
      </c>
      <c r="N719" s="2" t="s">
        <v>2950</v>
      </c>
      <c r="O719" t="s">
        <v>41</v>
      </c>
      <c r="P719" t="s">
        <v>353</v>
      </c>
      <c r="Q719" t="s">
        <v>244</v>
      </c>
      <c r="R719">
        <v>3.5</v>
      </c>
      <c r="S719" t="s">
        <v>2952</v>
      </c>
    </row>
    <row r="720" spans="1:19" x14ac:dyDescent="0.3">
      <c r="A720" t="s">
        <v>1784</v>
      </c>
      <c r="B720" t="s">
        <v>269</v>
      </c>
      <c r="C720" t="s">
        <v>155</v>
      </c>
      <c r="D720" t="s">
        <v>24</v>
      </c>
      <c r="E720">
        <v>43</v>
      </c>
      <c r="F720" t="s">
        <v>2946</v>
      </c>
      <c r="G720" t="s">
        <v>1776</v>
      </c>
      <c r="H720" t="s">
        <v>2810</v>
      </c>
      <c r="I720" t="s">
        <v>100</v>
      </c>
      <c r="J720" t="s">
        <v>473</v>
      </c>
      <c r="K720" t="s">
        <v>48</v>
      </c>
      <c r="L720" s="1">
        <v>42906</v>
      </c>
      <c r="M720" s="2">
        <v>465850</v>
      </c>
      <c r="N720" s="2" t="s">
        <v>2948</v>
      </c>
      <c r="O720" t="s">
        <v>198</v>
      </c>
      <c r="P720" t="s">
        <v>21</v>
      </c>
      <c r="Q720" t="s">
        <v>158</v>
      </c>
      <c r="R720">
        <v>8.9</v>
      </c>
      <c r="S720" t="s">
        <v>2951</v>
      </c>
    </row>
    <row r="721" spans="1:19" x14ac:dyDescent="0.3">
      <c r="A721" t="s">
        <v>443</v>
      </c>
      <c r="B721" t="s">
        <v>412</v>
      </c>
      <c r="C721" t="s">
        <v>213</v>
      </c>
      <c r="D721" t="s">
        <v>45</v>
      </c>
      <c r="E721">
        <v>29</v>
      </c>
      <c r="F721" t="s">
        <v>2945</v>
      </c>
      <c r="G721" t="s">
        <v>413</v>
      </c>
      <c r="H721" t="s">
        <v>1778</v>
      </c>
      <c r="I721" t="s">
        <v>271</v>
      </c>
      <c r="J721" t="s">
        <v>524</v>
      </c>
      <c r="K721" t="s">
        <v>71</v>
      </c>
      <c r="L721" s="1">
        <v>42692</v>
      </c>
      <c r="M721" s="2">
        <v>270352</v>
      </c>
      <c r="N721" s="2" t="s">
        <v>2948</v>
      </c>
      <c r="O721" t="s">
        <v>130</v>
      </c>
      <c r="P721" t="s">
        <v>152</v>
      </c>
      <c r="Q721" t="s">
        <v>244</v>
      </c>
      <c r="R721">
        <v>9.5</v>
      </c>
      <c r="S721" t="s">
        <v>2951</v>
      </c>
    </row>
    <row r="722" spans="1:19" x14ac:dyDescent="0.3">
      <c r="A722" t="s">
        <v>1786</v>
      </c>
      <c r="B722" t="s">
        <v>310</v>
      </c>
      <c r="C722" t="s">
        <v>249</v>
      </c>
      <c r="D722" t="s">
        <v>24</v>
      </c>
      <c r="E722">
        <v>53</v>
      </c>
      <c r="F722" t="s">
        <v>2947</v>
      </c>
      <c r="G722" t="s">
        <v>1780</v>
      </c>
      <c r="H722" t="s">
        <v>2811</v>
      </c>
      <c r="I722" t="s">
        <v>368</v>
      </c>
      <c r="J722" t="s">
        <v>20</v>
      </c>
      <c r="K722" t="s">
        <v>71</v>
      </c>
      <c r="L722" s="1">
        <v>44138</v>
      </c>
      <c r="M722" s="2">
        <v>789633</v>
      </c>
      <c r="N722" s="2" t="s">
        <v>2950</v>
      </c>
      <c r="O722" t="s">
        <v>111</v>
      </c>
      <c r="P722" t="s">
        <v>90</v>
      </c>
      <c r="Q722" t="s">
        <v>244</v>
      </c>
      <c r="R722">
        <v>5.5</v>
      </c>
      <c r="S722" t="s">
        <v>2953</v>
      </c>
    </row>
    <row r="723" spans="1:19" x14ac:dyDescent="0.3">
      <c r="A723" t="s">
        <v>1788</v>
      </c>
      <c r="B723" t="s">
        <v>148</v>
      </c>
      <c r="C723" t="s">
        <v>86</v>
      </c>
      <c r="D723" t="s">
        <v>24</v>
      </c>
      <c r="E723">
        <v>36</v>
      </c>
      <c r="F723" t="s">
        <v>2946</v>
      </c>
      <c r="G723" t="s">
        <v>1782</v>
      </c>
      <c r="H723" t="s">
        <v>1783</v>
      </c>
      <c r="I723" t="s">
        <v>100</v>
      </c>
      <c r="J723" t="s">
        <v>692</v>
      </c>
      <c r="K723" t="s">
        <v>35</v>
      </c>
      <c r="L723" s="1">
        <v>43411</v>
      </c>
      <c r="M723" s="2">
        <v>378644</v>
      </c>
      <c r="N723" s="2" t="s">
        <v>2948</v>
      </c>
      <c r="O723" t="s">
        <v>216</v>
      </c>
      <c r="P723" t="s">
        <v>21</v>
      </c>
      <c r="Q723" t="s">
        <v>79</v>
      </c>
      <c r="R723">
        <v>7.5</v>
      </c>
      <c r="S723" t="s">
        <v>2953</v>
      </c>
    </row>
    <row r="724" spans="1:19" x14ac:dyDescent="0.3">
      <c r="A724" t="s">
        <v>1791</v>
      </c>
      <c r="B724" t="s">
        <v>160</v>
      </c>
      <c r="C724" t="s">
        <v>348</v>
      </c>
      <c r="D724" t="s">
        <v>24</v>
      </c>
      <c r="E724">
        <v>25</v>
      </c>
      <c r="F724" t="s">
        <v>2945</v>
      </c>
      <c r="G724" t="s">
        <v>1785</v>
      </c>
      <c r="H724" t="s">
        <v>2812</v>
      </c>
      <c r="I724" t="s">
        <v>368</v>
      </c>
      <c r="J724" t="s">
        <v>303</v>
      </c>
      <c r="K724" t="s">
        <v>28</v>
      </c>
      <c r="L724" s="1">
        <v>44845</v>
      </c>
      <c r="M724" s="2">
        <v>300741</v>
      </c>
      <c r="N724" s="2" t="s">
        <v>2948</v>
      </c>
      <c r="O724" t="s">
        <v>41</v>
      </c>
      <c r="P724" t="s">
        <v>205</v>
      </c>
      <c r="Q724" t="s">
        <v>65</v>
      </c>
      <c r="R724">
        <v>3.6</v>
      </c>
      <c r="S724" t="s">
        <v>2952</v>
      </c>
    </row>
    <row r="725" spans="1:19" x14ac:dyDescent="0.3">
      <c r="A725" t="s">
        <v>1793</v>
      </c>
      <c r="B725" t="s">
        <v>44</v>
      </c>
      <c r="C725" t="s">
        <v>18</v>
      </c>
      <c r="D725" t="s">
        <v>45</v>
      </c>
      <c r="E725">
        <v>27</v>
      </c>
      <c r="F725" t="s">
        <v>2945</v>
      </c>
      <c r="G725" t="s">
        <v>1787</v>
      </c>
      <c r="H725" t="s">
        <v>2813</v>
      </c>
      <c r="I725" t="s">
        <v>100</v>
      </c>
      <c r="J725" t="s">
        <v>948</v>
      </c>
      <c r="K725" t="s">
        <v>28</v>
      </c>
      <c r="L725" s="1">
        <v>44313</v>
      </c>
      <c r="M725" s="2">
        <v>341390</v>
      </c>
      <c r="N725" s="2" t="s">
        <v>2948</v>
      </c>
      <c r="O725" t="s">
        <v>111</v>
      </c>
      <c r="P725" t="s">
        <v>21</v>
      </c>
      <c r="Q725" t="s">
        <v>72</v>
      </c>
      <c r="R725">
        <v>5</v>
      </c>
      <c r="S725" t="s">
        <v>2952</v>
      </c>
    </row>
    <row r="726" spans="1:19" x14ac:dyDescent="0.3">
      <c r="A726" t="s">
        <v>1796</v>
      </c>
      <c r="B726" t="s">
        <v>154</v>
      </c>
      <c r="C726" t="s">
        <v>336</v>
      </c>
      <c r="D726" t="s">
        <v>45</v>
      </c>
      <c r="E726">
        <v>30</v>
      </c>
      <c r="F726" t="s">
        <v>2945</v>
      </c>
      <c r="G726" t="s">
        <v>1789</v>
      </c>
      <c r="H726" t="s">
        <v>1790</v>
      </c>
      <c r="I726" t="s">
        <v>394</v>
      </c>
      <c r="J726" t="s">
        <v>883</v>
      </c>
      <c r="K726" t="s">
        <v>28</v>
      </c>
      <c r="L726" s="1">
        <v>42955</v>
      </c>
      <c r="M726" s="2">
        <v>757554</v>
      </c>
      <c r="N726" s="2" t="s">
        <v>2950</v>
      </c>
      <c r="O726" t="s">
        <v>111</v>
      </c>
      <c r="P726" t="s">
        <v>21</v>
      </c>
      <c r="Q726" t="s">
        <v>79</v>
      </c>
      <c r="R726">
        <v>8.8000000000000007</v>
      </c>
      <c r="S726" t="s">
        <v>2951</v>
      </c>
    </row>
    <row r="727" spans="1:19" x14ac:dyDescent="0.3">
      <c r="A727" t="s">
        <v>2348</v>
      </c>
      <c r="B727" t="s">
        <v>259</v>
      </c>
      <c r="C727" t="s">
        <v>221</v>
      </c>
      <c r="D727" t="s">
        <v>24</v>
      </c>
      <c r="E727">
        <v>35</v>
      </c>
      <c r="F727" t="s">
        <v>2946</v>
      </c>
      <c r="G727" t="s">
        <v>2453</v>
      </c>
      <c r="H727" t="s">
        <v>1792</v>
      </c>
      <c r="I727" t="s">
        <v>271</v>
      </c>
      <c r="J727" t="s">
        <v>388</v>
      </c>
      <c r="K727" t="s">
        <v>48</v>
      </c>
      <c r="L727" s="1">
        <v>42233</v>
      </c>
      <c r="M727" s="2">
        <v>297271</v>
      </c>
      <c r="N727" s="2" t="s">
        <v>2948</v>
      </c>
      <c r="O727" t="s">
        <v>130</v>
      </c>
      <c r="P727" t="s">
        <v>205</v>
      </c>
      <c r="Q727" t="s">
        <v>79</v>
      </c>
      <c r="R727">
        <v>10.7</v>
      </c>
      <c r="S727" t="s">
        <v>2951</v>
      </c>
    </row>
    <row r="728" spans="1:19" x14ac:dyDescent="0.3">
      <c r="A728" t="s">
        <v>1799</v>
      </c>
      <c r="B728" t="s">
        <v>377</v>
      </c>
      <c r="C728" t="s">
        <v>229</v>
      </c>
      <c r="D728" t="s">
        <v>24</v>
      </c>
      <c r="E728">
        <v>51</v>
      </c>
      <c r="F728" t="s">
        <v>2947</v>
      </c>
      <c r="G728" t="s">
        <v>1794</v>
      </c>
      <c r="H728" t="s">
        <v>1795</v>
      </c>
      <c r="I728" t="s">
        <v>517</v>
      </c>
      <c r="J728" t="s">
        <v>440</v>
      </c>
      <c r="K728" t="s">
        <v>28</v>
      </c>
      <c r="L728" s="1">
        <v>43150</v>
      </c>
      <c r="M728" s="2">
        <v>270663</v>
      </c>
      <c r="N728" s="2" t="s">
        <v>2948</v>
      </c>
      <c r="O728" t="s">
        <v>111</v>
      </c>
      <c r="P728" t="s">
        <v>353</v>
      </c>
      <c r="Q728" t="s">
        <v>244</v>
      </c>
      <c r="R728">
        <v>8.1999999999999993</v>
      </c>
      <c r="S728" t="s">
        <v>2951</v>
      </c>
    </row>
    <row r="729" spans="1:19" x14ac:dyDescent="0.3">
      <c r="A729" t="s">
        <v>2349</v>
      </c>
      <c r="B729" t="s">
        <v>190</v>
      </c>
      <c r="C729" t="s">
        <v>229</v>
      </c>
      <c r="D729" t="s">
        <v>24</v>
      </c>
      <c r="E729">
        <v>38</v>
      </c>
      <c r="F729" t="s">
        <v>2946</v>
      </c>
      <c r="G729" t="s">
        <v>1797</v>
      </c>
      <c r="H729" t="s">
        <v>2814</v>
      </c>
      <c r="I729" t="s">
        <v>592</v>
      </c>
      <c r="J729" t="s">
        <v>550</v>
      </c>
      <c r="K729" t="s">
        <v>35</v>
      </c>
      <c r="L729" s="1">
        <v>43689</v>
      </c>
      <c r="M729" s="2">
        <v>243191</v>
      </c>
      <c r="N729" s="2" t="s">
        <v>2948</v>
      </c>
      <c r="O729" t="s">
        <v>41</v>
      </c>
      <c r="P729" t="s">
        <v>152</v>
      </c>
      <c r="Q729" t="s">
        <v>65</v>
      </c>
      <c r="R729">
        <v>6.4</v>
      </c>
      <c r="S729" t="s">
        <v>2953</v>
      </c>
    </row>
    <row r="730" spans="1:19" x14ac:dyDescent="0.3">
      <c r="A730" t="s">
        <v>2350</v>
      </c>
      <c r="B730" t="s">
        <v>44</v>
      </c>
      <c r="C730" t="s">
        <v>221</v>
      </c>
      <c r="D730" t="s">
        <v>24</v>
      </c>
      <c r="E730">
        <v>23</v>
      </c>
      <c r="F730" t="s">
        <v>2945</v>
      </c>
      <c r="G730" t="s">
        <v>2411</v>
      </c>
      <c r="H730" t="s">
        <v>1798</v>
      </c>
      <c r="I730" t="s">
        <v>271</v>
      </c>
      <c r="J730" t="s">
        <v>806</v>
      </c>
      <c r="K730" t="s">
        <v>71</v>
      </c>
      <c r="L730" s="1">
        <v>42494</v>
      </c>
      <c r="M730" s="2">
        <v>538801</v>
      </c>
      <c r="N730" s="2" t="s">
        <v>2950</v>
      </c>
      <c r="O730" t="s">
        <v>130</v>
      </c>
      <c r="P730" t="s">
        <v>353</v>
      </c>
      <c r="Q730" t="s">
        <v>65</v>
      </c>
      <c r="R730">
        <v>10</v>
      </c>
      <c r="S730" t="s">
        <v>2951</v>
      </c>
    </row>
    <row r="731" spans="1:19" x14ac:dyDescent="0.3">
      <c r="A731" t="s">
        <v>1804</v>
      </c>
      <c r="B731" t="s">
        <v>190</v>
      </c>
      <c r="C731" t="s">
        <v>327</v>
      </c>
      <c r="D731" t="s">
        <v>24</v>
      </c>
      <c r="E731">
        <v>38</v>
      </c>
      <c r="F731" t="s">
        <v>2946</v>
      </c>
      <c r="G731" t="s">
        <v>1800</v>
      </c>
      <c r="H731" t="s">
        <v>2369</v>
      </c>
      <c r="I731" t="s">
        <v>209</v>
      </c>
      <c r="J731" t="s">
        <v>166</v>
      </c>
      <c r="K731" t="s">
        <v>48</v>
      </c>
      <c r="L731" s="1">
        <v>44531</v>
      </c>
      <c r="M731" s="2">
        <v>663392</v>
      </c>
      <c r="N731" s="2" t="s">
        <v>2950</v>
      </c>
      <c r="O731" t="s">
        <v>216</v>
      </c>
      <c r="P731" t="s">
        <v>21</v>
      </c>
      <c r="Q731" t="s">
        <v>244</v>
      </c>
      <c r="R731">
        <v>4.5</v>
      </c>
      <c r="S731" t="s">
        <v>2952</v>
      </c>
    </row>
    <row r="732" spans="1:19" x14ac:dyDescent="0.3">
      <c r="A732" t="s">
        <v>1806</v>
      </c>
      <c r="B732" t="s">
        <v>67</v>
      </c>
      <c r="C732" t="s">
        <v>146</v>
      </c>
      <c r="D732" t="s">
        <v>45</v>
      </c>
      <c r="E732">
        <v>45</v>
      </c>
      <c r="F732" t="s">
        <v>2946</v>
      </c>
      <c r="G732" t="s">
        <v>1801</v>
      </c>
      <c r="H732" t="s">
        <v>2369</v>
      </c>
      <c r="I732" t="s">
        <v>368</v>
      </c>
      <c r="J732" t="s">
        <v>796</v>
      </c>
      <c r="K732" t="s">
        <v>71</v>
      </c>
      <c r="L732" s="1">
        <v>44279</v>
      </c>
      <c r="M732" s="2">
        <v>852705</v>
      </c>
      <c r="N732" s="2" t="s">
        <v>2950</v>
      </c>
      <c r="O732" t="s">
        <v>253</v>
      </c>
      <c r="P732" t="s">
        <v>21</v>
      </c>
      <c r="Q732" t="s">
        <v>244</v>
      </c>
      <c r="R732">
        <v>5.0999999999999996</v>
      </c>
      <c r="S732" t="s">
        <v>2953</v>
      </c>
    </row>
    <row r="733" spans="1:19" x14ac:dyDescent="0.3">
      <c r="A733" t="s">
        <v>1808</v>
      </c>
      <c r="B733" t="s">
        <v>61</v>
      </c>
      <c r="C733" t="s">
        <v>221</v>
      </c>
      <c r="D733" t="s">
        <v>45</v>
      </c>
      <c r="F733" t="s">
        <v>2369</v>
      </c>
      <c r="G733" t="s">
        <v>1802</v>
      </c>
      <c r="H733" t="s">
        <v>2815</v>
      </c>
      <c r="I733" t="s">
        <v>209</v>
      </c>
      <c r="J733" t="s">
        <v>1803</v>
      </c>
      <c r="K733" t="s">
        <v>28</v>
      </c>
      <c r="L733" s="1">
        <v>43061</v>
      </c>
      <c r="M733" s="2">
        <v>781443</v>
      </c>
      <c r="N733" s="2" t="s">
        <v>2950</v>
      </c>
      <c r="O733" t="s">
        <v>130</v>
      </c>
      <c r="P733" t="s">
        <v>90</v>
      </c>
      <c r="Q733" t="s">
        <v>72</v>
      </c>
      <c r="R733">
        <v>8.5</v>
      </c>
      <c r="S733" t="s">
        <v>2951</v>
      </c>
    </row>
    <row r="734" spans="1:19" x14ac:dyDescent="0.3">
      <c r="A734" t="s">
        <v>2351</v>
      </c>
      <c r="B734" t="s">
        <v>233</v>
      </c>
      <c r="C734" t="s">
        <v>348</v>
      </c>
      <c r="D734" t="s">
        <v>24</v>
      </c>
      <c r="E734">
        <v>27</v>
      </c>
      <c r="F734" t="s">
        <v>2945</v>
      </c>
      <c r="G734" t="s">
        <v>1805</v>
      </c>
      <c r="H734" t="s">
        <v>2369</v>
      </c>
      <c r="I734" t="s">
        <v>209</v>
      </c>
      <c r="J734" t="s">
        <v>589</v>
      </c>
      <c r="K734" t="s">
        <v>48</v>
      </c>
      <c r="L734" s="1">
        <v>44119</v>
      </c>
      <c r="M734" s="2">
        <v>613871</v>
      </c>
      <c r="N734" s="2" t="s">
        <v>2950</v>
      </c>
      <c r="O734" t="s">
        <v>130</v>
      </c>
      <c r="P734" t="s">
        <v>90</v>
      </c>
      <c r="Q734" t="s">
        <v>158</v>
      </c>
      <c r="R734">
        <v>5.6</v>
      </c>
      <c r="S734" t="s">
        <v>2953</v>
      </c>
    </row>
    <row r="735" spans="1:19" x14ac:dyDescent="0.3">
      <c r="A735" t="s">
        <v>1811</v>
      </c>
      <c r="B735" t="s">
        <v>175</v>
      </c>
      <c r="C735" t="s">
        <v>23</v>
      </c>
      <c r="D735" t="s">
        <v>45</v>
      </c>
      <c r="E735">
        <v>36</v>
      </c>
      <c r="F735" t="s">
        <v>2946</v>
      </c>
      <c r="G735" t="s">
        <v>1807</v>
      </c>
      <c r="H735" t="s">
        <v>2816</v>
      </c>
      <c r="I735" t="s">
        <v>53</v>
      </c>
      <c r="J735" t="s">
        <v>252</v>
      </c>
      <c r="K735" t="s">
        <v>28</v>
      </c>
      <c r="L735" s="1">
        <v>43321</v>
      </c>
      <c r="M735" s="2">
        <v>705427</v>
      </c>
      <c r="N735" s="2" t="s">
        <v>2950</v>
      </c>
      <c r="O735" t="s">
        <v>111</v>
      </c>
      <c r="P735" t="s">
        <v>205</v>
      </c>
      <c r="Q735" t="s">
        <v>244</v>
      </c>
      <c r="R735">
        <v>7.8</v>
      </c>
      <c r="S735" t="s">
        <v>2953</v>
      </c>
    </row>
    <row r="736" spans="1:19" x14ac:dyDescent="0.3">
      <c r="A736" t="s">
        <v>1813</v>
      </c>
      <c r="B736" t="s">
        <v>43</v>
      </c>
      <c r="C736" t="s">
        <v>362</v>
      </c>
      <c r="D736" t="s">
        <v>24</v>
      </c>
      <c r="E736">
        <v>56</v>
      </c>
      <c r="F736" t="s">
        <v>2947</v>
      </c>
      <c r="G736" t="s">
        <v>1809</v>
      </c>
      <c r="H736" t="s">
        <v>2817</v>
      </c>
      <c r="I736" t="s">
        <v>517</v>
      </c>
      <c r="J736" t="s">
        <v>151</v>
      </c>
      <c r="K736" t="s">
        <v>28</v>
      </c>
      <c r="L736" s="1">
        <v>44498</v>
      </c>
      <c r="M736" s="2">
        <v>844248</v>
      </c>
      <c r="N736" s="2" t="s">
        <v>2950</v>
      </c>
      <c r="O736" t="s">
        <v>216</v>
      </c>
      <c r="P736" t="s">
        <v>21</v>
      </c>
      <c r="Q736" t="s">
        <v>244</v>
      </c>
      <c r="R736">
        <v>4.5</v>
      </c>
      <c r="S736" t="s">
        <v>2952</v>
      </c>
    </row>
    <row r="737" spans="1:19" x14ac:dyDescent="0.3">
      <c r="A737" t="s">
        <v>1815</v>
      </c>
      <c r="B737" t="s">
        <v>175</v>
      </c>
      <c r="C737" t="s">
        <v>149</v>
      </c>
      <c r="D737" t="s">
        <v>45</v>
      </c>
      <c r="E737">
        <v>39</v>
      </c>
      <c r="F737" t="s">
        <v>2946</v>
      </c>
      <c r="G737" t="s">
        <v>1810</v>
      </c>
      <c r="H737" t="s">
        <v>2818</v>
      </c>
      <c r="I737" t="s">
        <v>517</v>
      </c>
      <c r="J737" t="s">
        <v>151</v>
      </c>
      <c r="K737" t="s">
        <v>71</v>
      </c>
      <c r="L737" s="1">
        <v>42288</v>
      </c>
      <c r="M737" s="2">
        <v>327044</v>
      </c>
      <c r="N737" s="2" t="s">
        <v>2948</v>
      </c>
      <c r="O737" t="s">
        <v>216</v>
      </c>
      <c r="P737" t="s">
        <v>353</v>
      </c>
      <c r="Q737" t="s">
        <v>72</v>
      </c>
      <c r="R737">
        <v>10.6</v>
      </c>
      <c r="S737" t="s">
        <v>2951</v>
      </c>
    </row>
    <row r="738" spans="1:19" x14ac:dyDescent="0.3">
      <c r="A738" t="s">
        <v>1817</v>
      </c>
      <c r="B738" t="s">
        <v>97</v>
      </c>
      <c r="C738" t="s">
        <v>200</v>
      </c>
      <c r="D738" t="s">
        <v>24</v>
      </c>
      <c r="E738">
        <v>48</v>
      </c>
      <c r="F738" t="s">
        <v>2947</v>
      </c>
      <c r="G738" t="s">
        <v>1812</v>
      </c>
      <c r="H738" t="s">
        <v>2819</v>
      </c>
      <c r="I738" t="s">
        <v>235</v>
      </c>
      <c r="J738" t="s">
        <v>89</v>
      </c>
      <c r="K738" t="s">
        <v>35</v>
      </c>
      <c r="M738" s="2">
        <v>109593</v>
      </c>
      <c r="N738" s="2" t="s">
        <v>2949</v>
      </c>
      <c r="O738" t="s">
        <v>111</v>
      </c>
      <c r="P738" t="s">
        <v>353</v>
      </c>
      <c r="Q738" t="s">
        <v>244</v>
      </c>
      <c r="R738">
        <v>6.1</v>
      </c>
      <c r="S738" t="s">
        <v>2953</v>
      </c>
    </row>
    <row r="739" spans="1:19" x14ac:dyDescent="0.3">
      <c r="A739" t="s">
        <v>1819</v>
      </c>
      <c r="B739" t="s">
        <v>154</v>
      </c>
      <c r="C739" t="s">
        <v>75</v>
      </c>
      <c r="D739" t="s">
        <v>24</v>
      </c>
      <c r="E739">
        <v>48</v>
      </c>
      <c r="F739" t="s">
        <v>2947</v>
      </c>
      <c r="G739" t="s">
        <v>1814</v>
      </c>
      <c r="H739" t="s">
        <v>2369</v>
      </c>
      <c r="I739" t="s">
        <v>53</v>
      </c>
      <c r="J739" t="s">
        <v>1028</v>
      </c>
      <c r="K739" t="s">
        <v>28</v>
      </c>
      <c r="L739" s="1">
        <v>42199</v>
      </c>
      <c r="M739" s="2">
        <v>494284</v>
      </c>
      <c r="N739" s="2" t="s">
        <v>2948</v>
      </c>
      <c r="O739" t="s">
        <v>216</v>
      </c>
      <c r="P739" t="s">
        <v>90</v>
      </c>
      <c r="Q739" t="s">
        <v>72</v>
      </c>
      <c r="R739">
        <v>10.8</v>
      </c>
      <c r="S739" t="s">
        <v>2951</v>
      </c>
    </row>
    <row r="740" spans="1:19" x14ac:dyDescent="0.3">
      <c r="A740" t="s">
        <v>1821</v>
      </c>
      <c r="B740" t="s">
        <v>154</v>
      </c>
      <c r="C740" t="s">
        <v>38</v>
      </c>
      <c r="D740" t="s">
        <v>24</v>
      </c>
      <c r="E740">
        <v>50</v>
      </c>
      <c r="F740" t="s">
        <v>2947</v>
      </c>
      <c r="G740" t="s">
        <v>1816</v>
      </c>
      <c r="H740" t="s">
        <v>2369</v>
      </c>
      <c r="I740" t="s">
        <v>100</v>
      </c>
      <c r="J740" t="s">
        <v>647</v>
      </c>
      <c r="K740" t="s">
        <v>28</v>
      </c>
      <c r="L740" s="1">
        <v>44186</v>
      </c>
      <c r="M740" s="2">
        <v>3804.78</v>
      </c>
      <c r="N740" s="2" t="s">
        <v>2949</v>
      </c>
      <c r="O740" t="s">
        <v>41</v>
      </c>
      <c r="P740" t="s">
        <v>90</v>
      </c>
      <c r="Q740" t="s">
        <v>72</v>
      </c>
      <c r="R740">
        <v>5.4</v>
      </c>
      <c r="S740" t="s">
        <v>2953</v>
      </c>
    </row>
    <row r="741" spans="1:19" x14ac:dyDescent="0.3">
      <c r="A741" t="s">
        <v>2352</v>
      </c>
      <c r="B741" t="s">
        <v>175</v>
      </c>
      <c r="C741" t="s">
        <v>146</v>
      </c>
      <c r="D741" t="s">
        <v>45</v>
      </c>
      <c r="E741">
        <v>27</v>
      </c>
      <c r="F741" t="s">
        <v>2945</v>
      </c>
      <c r="G741" t="s">
        <v>1818</v>
      </c>
      <c r="H741" t="s">
        <v>2369</v>
      </c>
      <c r="I741" t="s">
        <v>517</v>
      </c>
      <c r="J741" t="s">
        <v>790</v>
      </c>
      <c r="K741" t="s">
        <v>35</v>
      </c>
      <c r="L741" s="1">
        <v>43105</v>
      </c>
      <c r="M741" s="2">
        <v>538889</v>
      </c>
      <c r="N741" s="2" t="s">
        <v>2950</v>
      </c>
      <c r="O741" t="s">
        <v>41</v>
      </c>
      <c r="P741" t="s">
        <v>21</v>
      </c>
      <c r="Q741" t="s">
        <v>79</v>
      </c>
      <c r="R741">
        <v>8.4</v>
      </c>
      <c r="S741" t="s">
        <v>2951</v>
      </c>
    </row>
    <row r="742" spans="1:19" x14ac:dyDescent="0.3">
      <c r="A742" t="s">
        <v>1824</v>
      </c>
      <c r="B742" t="s">
        <v>190</v>
      </c>
      <c r="C742" t="s">
        <v>348</v>
      </c>
      <c r="D742" t="s">
        <v>24</v>
      </c>
      <c r="F742" t="s">
        <v>2369</v>
      </c>
      <c r="G742" t="s">
        <v>1820</v>
      </c>
      <c r="H742" t="s">
        <v>2820</v>
      </c>
      <c r="I742" t="s">
        <v>100</v>
      </c>
      <c r="J742" t="s">
        <v>101</v>
      </c>
      <c r="K742" t="s">
        <v>28</v>
      </c>
      <c r="L742" s="1">
        <v>42176</v>
      </c>
      <c r="M742" s="2">
        <v>880380</v>
      </c>
      <c r="N742" s="2" t="s">
        <v>2950</v>
      </c>
      <c r="O742" t="s">
        <v>216</v>
      </c>
      <c r="P742" t="s">
        <v>90</v>
      </c>
      <c r="Q742" t="s">
        <v>244</v>
      </c>
      <c r="R742">
        <v>10.9</v>
      </c>
      <c r="S742" t="s">
        <v>2951</v>
      </c>
    </row>
    <row r="743" spans="1:19" x14ac:dyDescent="0.3">
      <c r="A743" t="s">
        <v>1826</v>
      </c>
      <c r="B743" t="s">
        <v>37</v>
      </c>
      <c r="C743" t="s">
        <v>23</v>
      </c>
      <c r="D743" t="s">
        <v>24</v>
      </c>
      <c r="F743" t="s">
        <v>2369</v>
      </c>
      <c r="G743" t="s">
        <v>1822</v>
      </c>
      <c r="H743" t="s">
        <v>2369</v>
      </c>
      <c r="I743" t="s">
        <v>271</v>
      </c>
      <c r="J743" t="s">
        <v>806</v>
      </c>
      <c r="K743" t="s">
        <v>71</v>
      </c>
      <c r="L743" s="1">
        <v>44379</v>
      </c>
      <c r="M743" s="2">
        <v>711544</v>
      </c>
      <c r="N743" s="2" t="s">
        <v>2950</v>
      </c>
      <c r="O743" t="s">
        <v>111</v>
      </c>
      <c r="P743" t="s">
        <v>205</v>
      </c>
      <c r="Q743" t="s">
        <v>65</v>
      </c>
      <c r="R743">
        <v>5.3</v>
      </c>
      <c r="S743" t="s">
        <v>2953</v>
      </c>
    </row>
    <row r="744" spans="1:19" x14ac:dyDescent="0.3">
      <c r="A744" t="s">
        <v>1829</v>
      </c>
      <c r="B744" t="s">
        <v>141</v>
      </c>
      <c r="C744" t="s">
        <v>408</v>
      </c>
      <c r="D744" t="s">
        <v>45</v>
      </c>
      <c r="E744">
        <v>26</v>
      </c>
      <c r="F744" t="s">
        <v>2945</v>
      </c>
      <c r="G744" t="s">
        <v>1823</v>
      </c>
      <c r="H744" t="s">
        <v>2369</v>
      </c>
      <c r="I744" t="s">
        <v>209</v>
      </c>
      <c r="J744" t="s">
        <v>1079</v>
      </c>
      <c r="K744" t="s">
        <v>71</v>
      </c>
      <c r="M744" s="2">
        <v>892710</v>
      </c>
      <c r="N744" s="2" t="s">
        <v>2950</v>
      </c>
      <c r="O744" t="s">
        <v>253</v>
      </c>
      <c r="P744" t="s">
        <v>90</v>
      </c>
      <c r="Q744" t="s">
        <v>244</v>
      </c>
      <c r="R744">
        <v>5.2</v>
      </c>
      <c r="S744" t="s">
        <v>2953</v>
      </c>
    </row>
    <row r="745" spans="1:19" x14ac:dyDescent="0.3">
      <c r="A745" t="s">
        <v>1831</v>
      </c>
      <c r="B745" t="s">
        <v>137</v>
      </c>
      <c r="C745" t="s">
        <v>200</v>
      </c>
      <c r="D745" t="s">
        <v>24</v>
      </c>
      <c r="E745">
        <v>27</v>
      </c>
      <c r="F745" t="s">
        <v>2945</v>
      </c>
      <c r="G745" t="s">
        <v>1825</v>
      </c>
      <c r="H745" t="s">
        <v>2821</v>
      </c>
      <c r="I745" t="s">
        <v>592</v>
      </c>
      <c r="J745" t="s">
        <v>247</v>
      </c>
      <c r="K745" t="s">
        <v>48</v>
      </c>
      <c r="L745" s="1">
        <v>44913</v>
      </c>
      <c r="M745" s="2">
        <v>742219</v>
      </c>
      <c r="N745" s="2" t="s">
        <v>2950</v>
      </c>
      <c r="O745" t="s">
        <v>111</v>
      </c>
      <c r="P745" t="s">
        <v>152</v>
      </c>
      <c r="Q745" t="s">
        <v>65</v>
      </c>
      <c r="R745">
        <v>3.4</v>
      </c>
      <c r="S745" t="s">
        <v>2952</v>
      </c>
    </row>
    <row r="746" spans="1:19" x14ac:dyDescent="0.3">
      <c r="A746" t="s">
        <v>1834</v>
      </c>
      <c r="B746" t="s">
        <v>160</v>
      </c>
      <c r="C746" t="s">
        <v>213</v>
      </c>
      <c r="D746" t="s">
        <v>45</v>
      </c>
      <c r="E746">
        <v>38</v>
      </c>
      <c r="F746" t="s">
        <v>2946</v>
      </c>
      <c r="G746" t="s">
        <v>1827</v>
      </c>
      <c r="H746" t="s">
        <v>1828</v>
      </c>
      <c r="I746" t="s">
        <v>100</v>
      </c>
      <c r="J746" t="s">
        <v>692</v>
      </c>
      <c r="K746" t="s">
        <v>48</v>
      </c>
      <c r="L746" s="1">
        <v>43584</v>
      </c>
      <c r="M746" s="2">
        <v>882196</v>
      </c>
      <c r="N746" s="2" t="s">
        <v>2950</v>
      </c>
      <c r="O746" t="s">
        <v>111</v>
      </c>
      <c r="P746" t="s">
        <v>90</v>
      </c>
      <c r="Q746" t="s">
        <v>244</v>
      </c>
      <c r="R746">
        <v>7</v>
      </c>
      <c r="S746" t="s">
        <v>2953</v>
      </c>
    </row>
    <row r="747" spans="1:19" x14ac:dyDescent="0.3">
      <c r="A747" t="s">
        <v>1835</v>
      </c>
      <c r="B747" t="s">
        <v>359</v>
      </c>
      <c r="C747" t="s">
        <v>104</v>
      </c>
      <c r="D747" t="s">
        <v>24</v>
      </c>
      <c r="E747">
        <v>27</v>
      </c>
      <c r="F747" t="s">
        <v>2945</v>
      </c>
      <c r="G747" t="s">
        <v>1830</v>
      </c>
      <c r="H747" t="s">
        <v>2369</v>
      </c>
      <c r="I747" t="s">
        <v>394</v>
      </c>
      <c r="J747" t="s">
        <v>231</v>
      </c>
      <c r="K747" t="s">
        <v>71</v>
      </c>
      <c r="L747" s="1">
        <v>44494</v>
      </c>
      <c r="M747" s="2">
        <v>345164</v>
      </c>
      <c r="N747" s="2" t="s">
        <v>2948</v>
      </c>
      <c r="O747" t="s">
        <v>198</v>
      </c>
      <c r="P747" t="s">
        <v>152</v>
      </c>
      <c r="Q747" t="s">
        <v>244</v>
      </c>
      <c r="R747">
        <v>4.5999999999999996</v>
      </c>
      <c r="S747" t="s">
        <v>2952</v>
      </c>
    </row>
    <row r="748" spans="1:19" x14ac:dyDescent="0.3">
      <c r="A748" t="s">
        <v>1837</v>
      </c>
      <c r="B748" t="s">
        <v>148</v>
      </c>
      <c r="C748" t="s">
        <v>23</v>
      </c>
      <c r="D748" t="s">
        <v>24</v>
      </c>
      <c r="E748">
        <v>24</v>
      </c>
      <c r="F748" t="s">
        <v>2945</v>
      </c>
      <c r="G748" t="s">
        <v>1832</v>
      </c>
      <c r="H748" t="s">
        <v>1833</v>
      </c>
      <c r="I748" t="s">
        <v>271</v>
      </c>
      <c r="J748" t="s">
        <v>1032</v>
      </c>
      <c r="K748" t="s">
        <v>71</v>
      </c>
      <c r="L748" s="1">
        <v>42259</v>
      </c>
      <c r="M748" s="2">
        <v>314659</v>
      </c>
      <c r="N748" s="2" t="s">
        <v>2948</v>
      </c>
      <c r="O748" t="s">
        <v>130</v>
      </c>
      <c r="P748" t="s">
        <v>205</v>
      </c>
      <c r="Q748" t="s">
        <v>244</v>
      </c>
      <c r="R748">
        <v>10.4</v>
      </c>
      <c r="S748" t="s">
        <v>2951</v>
      </c>
    </row>
    <row r="749" spans="1:19" x14ac:dyDescent="0.3">
      <c r="A749" t="s">
        <v>1839</v>
      </c>
      <c r="B749" t="s">
        <v>17</v>
      </c>
      <c r="C749" t="s">
        <v>249</v>
      </c>
      <c r="D749" t="s">
        <v>45</v>
      </c>
      <c r="E749">
        <v>26</v>
      </c>
      <c r="F749" t="s">
        <v>2945</v>
      </c>
      <c r="G749" t="s">
        <v>1269</v>
      </c>
      <c r="H749" t="s">
        <v>2822</v>
      </c>
      <c r="I749" t="s">
        <v>517</v>
      </c>
      <c r="J749" t="s">
        <v>151</v>
      </c>
      <c r="K749" t="s">
        <v>48</v>
      </c>
      <c r="L749" s="1">
        <v>44919</v>
      </c>
      <c r="M749" s="2">
        <v>809570</v>
      </c>
      <c r="N749" s="2" t="s">
        <v>2950</v>
      </c>
      <c r="O749" t="s">
        <v>216</v>
      </c>
      <c r="P749" t="s">
        <v>205</v>
      </c>
      <c r="Q749" t="s">
        <v>79</v>
      </c>
      <c r="R749">
        <v>3.4</v>
      </c>
      <c r="S749" t="s">
        <v>2952</v>
      </c>
    </row>
    <row r="750" spans="1:19" x14ac:dyDescent="0.3">
      <c r="A750" t="s">
        <v>1841</v>
      </c>
      <c r="B750" t="s">
        <v>30</v>
      </c>
      <c r="C750" t="s">
        <v>98</v>
      </c>
      <c r="D750" t="s">
        <v>45</v>
      </c>
      <c r="E750">
        <v>35</v>
      </c>
      <c r="F750" t="s">
        <v>2946</v>
      </c>
      <c r="G750" t="s">
        <v>1836</v>
      </c>
      <c r="H750" t="s">
        <v>2823</v>
      </c>
      <c r="I750" t="s">
        <v>100</v>
      </c>
      <c r="K750" t="s">
        <v>71</v>
      </c>
      <c r="L750" s="1">
        <v>43550</v>
      </c>
      <c r="M750" s="2">
        <v>872621</v>
      </c>
      <c r="N750" s="2" t="s">
        <v>2950</v>
      </c>
      <c r="O750" t="s">
        <v>253</v>
      </c>
      <c r="P750" t="s">
        <v>21</v>
      </c>
      <c r="Q750" t="s">
        <v>65</v>
      </c>
      <c r="R750">
        <v>7.1</v>
      </c>
      <c r="S750" t="s">
        <v>2953</v>
      </c>
    </row>
    <row r="751" spans="1:19" x14ac:dyDescent="0.3">
      <c r="A751" t="s">
        <v>1843</v>
      </c>
      <c r="B751" t="s">
        <v>190</v>
      </c>
      <c r="C751" t="s">
        <v>161</v>
      </c>
      <c r="D751" t="s">
        <v>45</v>
      </c>
      <c r="E751">
        <v>25</v>
      </c>
      <c r="F751" t="s">
        <v>2945</v>
      </c>
      <c r="G751" t="s">
        <v>1838</v>
      </c>
      <c r="H751" t="s">
        <v>2824</v>
      </c>
      <c r="I751" t="s">
        <v>517</v>
      </c>
      <c r="J751" t="s">
        <v>512</v>
      </c>
      <c r="K751" t="s">
        <v>35</v>
      </c>
      <c r="L751" s="1">
        <v>42274</v>
      </c>
      <c r="M751" s="2">
        <v>367675</v>
      </c>
      <c r="N751" s="2" t="s">
        <v>2948</v>
      </c>
      <c r="O751" t="s">
        <v>111</v>
      </c>
      <c r="P751" t="s">
        <v>90</v>
      </c>
      <c r="Q751" t="s">
        <v>72</v>
      </c>
      <c r="R751">
        <v>10.6</v>
      </c>
      <c r="S751" t="s">
        <v>2951</v>
      </c>
    </row>
    <row r="752" spans="1:19" x14ac:dyDescent="0.3">
      <c r="A752" t="s">
        <v>1845</v>
      </c>
      <c r="B752" t="s">
        <v>347</v>
      </c>
      <c r="C752" t="s">
        <v>82</v>
      </c>
      <c r="D752" t="s">
        <v>45</v>
      </c>
      <c r="E752">
        <v>55</v>
      </c>
      <c r="F752" t="s">
        <v>2947</v>
      </c>
      <c r="G752" t="s">
        <v>1840</v>
      </c>
      <c r="H752" t="s">
        <v>2369</v>
      </c>
      <c r="I752" t="s">
        <v>592</v>
      </c>
      <c r="J752" t="s">
        <v>110</v>
      </c>
      <c r="K752" t="s">
        <v>48</v>
      </c>
      <c r="M752" s="2">
        <v>405912</v>
      </c>
      <c r="N752" s="2" t="s">
        <v>2948</v>
      </c>
      <c r="O752" t="s">
        <v>111</v>
      </c>
      <c r="P752" t="s">
        <v>90</v>
      </c>
      <c r="Q752" t="s">
        <v>158</v>
      </c>
      <c r="R752">
        <v>9</v>
      </c>
      <c r="S752" t="s">
        <v>2951</v>
      </c>
    </row>
    <row r="753" spans="1:19" x14ac:dyDescent="0.3">
      <c r="A753" t="s">
        <v>1847</v>
      </c>
      <c r="B753" t="s">
        <v>187</v>
      </c>
      <c r="C753" t="s">
        <v>18</v>
      </c>
      <c r="D753" t="s">
        <v>24</v>
      </c>
      <c r="E753">
        <v>54</v>
      </c>
      <c r="F753" t="s">
        <v>2947</v>
      </c>
      <c r="G753" t="s">
        <v>1842</v>
      </c>
      <c r="H753" t="s">
        <v>2369</v>
      </c>
      <c r="I753" t="s">
        <v>394</v>
      </c>
      <c r="J753" t="s">
        <v>84</v>
      </c>
      <c r="K753" t="s">
        <v>28</v>
      </c>
      <c r="L753" s="1">
        <v>43241</v>
      </c>
      <c r="M753" s="2">
        <v>85107</v>
      </c>
      <c r="N753" s="2" t="s">
        <v>2949</v>
      </c>
      <c r="O753" t="s">
        <v>130</v>
      </c>
      <c r="P753" t="s">
        <v>152</v>
      </c>
      <c r="Q753" t="s">
        <v>72</v>
      </c>
      <c r="R753">
        <v>8</v>
      </c>
      <c r="S753" t="s">
        <v>2953</v>
      </c>
    </row>
    <row r="754" spans="1:19" x14ac:dyDescent="0.3">
      <c r="A754" t="s">
        <v>1849</v>
      </c>
      <c r="B754" t="s">
        <v>301</v>
      </c>
      <c r="C754" t="s">
        <v>149</v>
      </c>
      <c r="D754" t="s">
        <v>24</v>
      </c>
      <c r="E754">
        <v>23</v>
      </c>
      <c r="F754" t="s">
        <v>2945</v>
      </c>
      <c r="G754" t="s">
        <v>1844</v>
      </c>
      <c r="H754" t="s">
        <v>2369</v>
      </c>
      <c r="I754" t="s">
        <v>235</v>
      </c>
      <c r="J754" t="s">
        <v>480</v>
      </c>
      <c r="K754" t="s">
        <v>48</v>
      </c>
      <c r="L754" s="1">
        <v>42371</v>
      </c>
      <c r="M754" s="2">
        <v>359883</v>
      </c>
      <c r="N754" s="2" t="s">
        <v>2948</v>
      </c>
      <c r="O754" t="s">
        <v>111</v>
      </c>
      <c r="P754" t="s">
        <v>90</v>
      </c>
      <c r="Q754" t="s">
        <v>79</v>
      </c>
      <c r="R754">
        <v>10.4</v>
      </c>
      <c r="S754" t="s">
        <v>2951</v>
      </c>
    </row>
    <row r="755" spans="1:19" x14ac:dyDescent="0.3">
      <c r="A755" t="s">
        <v>1850</v>
      </c>
      <c r="B755" t="s">
        <v>359</v>
      </c>
      <c r="C755" t="s">
        <v>161</v>
      </c>
      <c r="D755" t="s">
        <v>24</v>
      </c>
      <c r="E755">
        <v>23</v>
      </c>
      <c r="F755" t="s">
        <v>2945</v>
      </c>
      <c r="G755" t="s">
        <v>1846</v>
      </c>
      <c r="H755" t="s">
        <v>2369</v>
      </c>
      <c r="I755" t="s">
        <v>485</v>
      </c>
      <c r="J755" t="s">
        <v>185</v>
      </c>
      <c r="K755" t="s">
        <v>48</v>
      </c>
      <c r="L755" s="1">
        <v>44589</v>
      </c>
      <c r="M755" s="2">
        <v>552888</v>
      </c>
      <c r="N755" s="2" t="s">
        <v>2950</v>
      </c>
      <c r="O755" t="s">
        <v>216</v>
      </c>
      <c r="P755" t="s">
        <v>90</v>
      </c>
      <c r="Q755" t="s">
        <v>79</v>
      </c>
      <c r="R755">
        <v>4.3</v>
      </c>
      <c r="S755" t="s">
        <v>2952</v>
      </c>
    </row>
    <row r="756" spans="1:19" x14ac:dyDescent="0.3">
      <c r="A756" t="s">
        <v>1852</v>
      </c>
      <c r="B756" t="s">
        <v>56</v>
      </c>
      <c r="C756" t="s">
        <v>516</v>
      </c>
      <c r="D756" t="s">
        <v>45</v>
      </c>
      <c r="E756">
        <v>58</v>
      </c>
      <c r="F756" t="s">
        <v>2947</v>
      </c>
      <c r="G756" t="s">
        <v>1848</v>
      </c>
      <c r="H756" t="s">
        <v>2369</v>
      </c>
      <c r="I756" t="s">
        <v>394</v>
      </c>
      <c r="J756" t="s">
        <v>672</v>
      </c>
      <c r="K756" t="s">
        <v>71</v>
      </c>
      <c r="L756" s="1">
        <v>43590</v>
      </c>
      <c r="M756" s="2">
        <v>528524</v>
      </c>
      <c r="N756" s="2" t="s">
        <v>2950</v>
      </c>
      <c r="O756" t="s">
        <v>111</v>
      </c>
      <c r="P756" t="s">
        <v>353</v>
      </c>
      <c r="Q756" t="s">
        <v>79</v>
      </c>
      <c r="R756">
        <v>7</v>
      </c>
      <c r="S756" t="s">
        <v>2953</v>
      </c>
    </row>
    <row r="757" spans="1:19" x14ac:dyDescent="0.3">
      <c r="A757" t="s">
        <v>1855</v>
      </c>
      <c r="B757" t="s">
        <v>132</v>
      </c>
      <c r="C757" t="s">
        <v>221</v>
      </c>
      <c r="D757" t="s">
        <v>45</v>
      </c>
      <c r="E757">
        <v>51</v>
      </c>
      <c r="F757" t="s">
        <v>2947</v>
      </c>
      <c r="G757" t="s">
        <v>2369</v>
      </c>
      <c r="H757" t="s">
        <v>2825</v>
      </c>
      <c r="I757" t="s">
        <v>368</v>
      </c>
      <c r="J757" t="s">
        <v>415</v>
      </c>
      <c r="K757" t="s">
        <v>48</v>
      </c>
      <c r="L757" s="1">
        <v>43827</v>
      </c>
      <c r="M757" s="2">
        <v>93379</v>
      </c>
      <c r="N757" s="2" t="s">
        <v>2949</v>
      </c>
      <c r="O757" t="s">
        <v>111</v>
      </c>
      <c r="P757" t="s">
        <v>21</v>
      </c>
      <c r="Q757" t="s">
        <v>244</v>
      </c>
      <c r="R757">
        <v>6.4</v>
      </c>
      <c r="S757" t="s">
        <v>2953</v>
      </c>
    </row>
    <row r="758" spans="1:19" x14ac:dyDescent="0.3">
      <c r="A758" t="s">
        <v>1857</v>
      </c>
      <c r="B758" t="s">
        <v>61</v>
      </c>
      <c r="C758" t="s">
        <v>31</v>
      </c>
      <c r="D758" t="s">
        <v>24</v>
      </c>
      <c r="E758">
        <v>25</v>
      </c>
      <c r="F758" t="s">
        <v>2945</v>
      </c>
      <c r="G758" t="s">
        <v>1851</v>
      </c>
      <c r="H758" t="s">
        <v>2369</v>
      </c>
      <c r="I758" t="s">
        <v>209</v>
      </c>
      <c r="J758" t="s">
        <v>166</v>
      </c>
      <c r="K758" t="s">
        <v>48</v>
      </c>
      <c r="L758" s="1">
        <v>44706</v>
      </c>
      <c r="M758" s="2">
        <v>2982280</v>
      </c>
      <c r="N758" s="2" t="s">
        <v>2950</v>
      </c>
      <c r="O758" t="s">
        <v>216</v>
      </c>
      <c r="P758" t="s">
        <v>205</v>
      </c>
      <c r="Q758" t="s">
        <v>158</v>
      </c>
      <c r="R758">
        <v>4</v>
      </c>
      <c r="S758" t="s">
        <v>2952</v>
      </c>
    </row>
    <row r="759" spans="1:19" x14ac:dyDescent="0.3">
      <c r="A759" t="s">
        <v>2353</v>
      </c>
      <c r="B759" t="s">
        <v>175</v>
      </c>
      <c r="C759" t="s">
        <v>68</v>
      </c>
      <c r="D759" t="s">
        <v>24</v>
      </c>
      <c r="E759">
        <v>41</v>
      </c>
      <c r="F759" t="s">
        <v>2946</v>
      </c>
      <c r="G759" t="s">
        <v>1853</v>
      </c>
      <c r="H759" t="s">
        <v>1854</v>
      </c>
      <c r="I759" t="s">
        <v>368</v>
      </c>
      <c r="J759" t="s">
        <v>801</v>
      </c>
      <c r="K759" t="s">
        <v>48</v>
      </c>
      <c r="L759" s="1">
        <v>43247</v>
      </c>
      <c r="M759" s="2">
        <v>260839</v>
      </c>
      <c r="N759" s="2" t="s">
        <v>2948</v>
      </c>
      <c r="O759" t="s">
        <v>41</v>
      </c>
      <c r="P759" t="s">
        <v>152</v>
      </c>
      <c r="Q759" t="s">
        <v>65</v>
      </c>
      <c r="R759">
        <v>8</v>
      </c>
      <c r="S759" t="s">
        <v>2953</v>
      </c>
    </row>
    <row r="760" spans="1:19" x14ac:dyDescent="0.3">
      <c r="A760" t="s">
        <v>1861</v>
      </c>
      <c r="B760" t="s">
        <v>124</v>
      </c>
      <c r="C760" t="s">
        <v>114</v>
      </c>
      <c r="D760" t="s">
        <v>24</v>
      </c>
      <c r="E760">
        <v>57</v>
      </c>
      <c r="F760" t="s">
        <v>2947</v>
      </c>
      <c r="G760" t="s">
        <v>1856</v>
      </c>
      <c r="H760" t="s">
        <v>2826</v>
      </c>
      <c r="I760" t="s">
        <v>592</v>
      </c>
      <c r="J760" t="s">
        <v>1051</v>
      </c>
      <c r="K760" t="s">
        <v>35</v>
      </c>
      <c r="L760" s="1">
        <v>44949</v>
      </c>
      <c r="M760" s="2">
        <v>293142</v>
      </c>
      <c r="N760" s="2" t="s">
        <v>2948</v>
      </c>
      <c r="O760" t="s">
        <v>130</v>
      </c>
      <c r="P760" t="s">
        <v>90</v>
      </c>
      <c r="Q760" t="s">
        <v>244</v>
      </c>
      <c r="R760">
        <v>3.3</v>
      </c>
      <c r="S760" t="s">
        <v>2952</v>
      </c>
    </row>
    <row r="761" spans="1:19" x14ac:dyDescent="0.3">
      <c r="A761" t="s">
        <v>1864</v>
      </c>
      <c r="B761" t="s">
        <v>301</v>
      </c>
      <c r="C761" t="s">
        <v>213</v>
      </c>
      <c r="D761" t="s">
        <v>24</v>
      </c>
      <c r="E761">
        <v>39</v>
      </c>
      <c r="F761" t="s">
        <v>2946</v>
      </c>
      <c r="G761" t="s">
        <v>1858</v>
      </c>
      <c r="H761" t="s">
        <v>1859</v>
      </c>
      <c r="I761" t="s">
        <v>209</v>
      </c>
      <c r="K761" t="s">
        <v>35</v>
      </c>
      <c r="L761" s="1">
        <v>43123</v>
      </c>
      <c r="M761" s="2">
        <v>6091180</v>
      </c>
      <c r="N761" s="2" t="s">
        <v>2950</v>
      </c>
      <c r="O761" t="s">
        <v>130</v>
      </c>
      <c r="P761" t="s">
        <v>90</v>
      </c>
      <c r="Q761" t="s">
        <v>72</v>
      </c>
      <c r="R761">
        <v>8.3000000000000007</v>
      </c>
      <c r="S761" t="s">
        <v>2951</v>
      </c>
    </row>
    <row r="762" spans="1:19" x14ac:dyDescent="0.3">
      <c r="A762" t="s">
        <v>1866</v>
      </c>
      <c r="B762" t="s">
        <v>97</v>
      </c>
      <c r="C762" t="s">
        <v>183</v>
      </c>
      <c r="D762" t="s">
        <v>45</v>
      </c>
      <c r="E762">
        <v>36</v>
      </c>
      <c r="F762" t="s">
        <v>2946</v>
      </c>
      <c r="G762" t="s">
        <v>1860</v>
      </c>
      <c r="H762" t="s">
        <v>2827</v>
      </c>
      <c r="I762" t="s">
        <v>368</v>
      </c>
      <c r="J762" t="s">
        <v>599</v>
      </c>
      <c r="K762" t="s">
        <v>48</v>
      </c>
      <c r="L762" s="1">
        <v>42740</v>
      </c>
      <c r="M762" s="2">
        <v>496496</v>
      </c>
      <c r="N762" s="2" t="s">
        <v>2948</v>
      </c>
      <c r="O762" t="s">
        <v>253</v>
      </c>
      <c r="P762" t="s">
        <v>205</v>
      </c>
      <c r="Q762" t="s">
        <v>79</v>
      </c>
      <c r="R762">
        <v>9.4</v>
      </c>
      <c r="S762" t="s">
        <v>2951</v>
      </c>
    </row>
    <row r="763" spans="1:19" x14ac:dyDescent="0.3">
      <c r="A763" t="s">
        <v>773</v>
      </c>
      <c r="B763" t="s">
        <v>190</v>
      </c>
      <c r="C763" t="s">
        <v>264</v>
      </c>
      <c r="D763" t="s">
        <v>45</v>
      </c>
      <c r="E763">
        <v>48</v>
      </c>
      <c r="F763" t="s">
        <v>2947</v>
      </c>
      <c r="G763" t="s">
        <v>1862</v>
      </c>
      <c r="H763" t="s">
        <v>1863</v>
      </c>
      <c r="I763" t="s">
        <v>485</v>
      </c>
      <c r="J763" t="s">
        <v>1181</v>
      </c>
      <c r="K763" t="s">
        <v>48</v>
      </c>
      <c r="L763" s="1">
        <v>42864</v>
      </c>
      <c r="M763" s="2">
        <v>498843</v>
      </c>
      <c r="N763" s="2" t="s">
        <v>2948</v>
      </c>
      <c r="O763" t="s">
        <v>130</v>
      </c>
      <c r="P763" t="s">
        <v>353</v>
      </c>
      <c r="Q763" t="s">
        <v>79</v>
      </c>
      <c r="R763">
        <v>9</v>
      </c>
      <c r="S763" t="s">
        <v>2951</v>
      </c>
    </row>
    <row r="764" spans="1:19" x14ac:dyDescent="0.3">
      <c r="A764" t="s">
        <v>1869</v>
      </c>
      <c r="B764" t="s">
        <v>30</v>
      </c>
      <c r="C764" t="s">
        <v>93</v>
      </c>
      <c r="D764" t="s">
        <v>45</v>
      </c>
      <c r="E764">
        <v>39</v>
      </c>
      <c r="F764" t="s">
        <v>2946</v>
      </c>
      <c r="G764" t="s">
        <v>1865</v>
      </c>
      <c r="H764" t="s">
        <v>2369</v>
      </c>
      <c r="I764" t="s">
        <v>394</v>
      </c>
      <c r="J764" t="s">
        <v>883</v>
      </c>
      <c r="K764" t="s">
        <v>48</v>
      </c>
      <c r="L764" s="1">
        <v>43830</v>
      </c>
      <c r="M764" s="2">
        <v>91681</v>
      </c>
      <c r="N764" s="2" t="s">
        <v>2949</v>
      </c>
      <c r="O764" t="s">
        <v>111</v>
      </c>
      <c r="P764" t="s">
        <v>152</v>
      </c>
      <c r="Q764" t="s">
        <v>79</v>
      </c>
      <c r="R764">
        <v>6.4</v>
      </c>
      <c r="S764" t="s">
        <v>2953</v>
      </c>
    </row>
    <row r="765" spans="1:19" x14ac:dyDescent="0.3">
      <c r="A765" t="s">
        <v>1871</v>
      </c>
      <c r="B765" t="s">
        <v>269</v>
      </c>
      <c r="C765" t="s">
        <v>200</v>
      </c>
      <c r="D765" t="s">
        <v>24</v>
      </c>
      <c r="E765">
        <v>56</v>
      </c>
      <c r="F765" t="s">
        <v>2947</v>
      </c>
      <c r="G765" t="s">
        <v>1867</v>
      </c>
      <c r="H765" t="s">
        <v>1868</v>
      </c>
      <c r="I765" t="s">
        <v>100</v>
      </c>
      <c r="J765" t="s">
        <v>343</v>
      </c>
      <c r="K765" t="s">
        <v>35</v>
      </c>
      <c r="M765" s="2">
        <v>778024</v>
      </c>
      <c r="N765" s="2" t="s">
        <v>2950</v>
      </c>
      <c r="O765" t="s">
        <v>253</v>
      </c>
      <c r="P765" t="s">
        <v>353</v>
      </c>
      <c r="Q765" t="s">
        <v>244</v>
      </c>
      <c r="R765">
        <v>5.9</v>
      </c>
      <c r="S765" t="s">
        <v>2953</v>
      </c>
    </row>
    <row r="766" spans="1:19" x14ac:dyDescent="0.3">
      <c r="A766" t="s">
        <v>1874</v>
      </c>
      <c r="B766" t="s">
        <v>67</v>
      </c>
      <c r="C766" t="s">
        <v>50</v>
      </c>
      <c r="D766" t="s">
        <v>24</v>
      </c>
      <c r="E766">
        <v>36</v>
      </c>
      <c r="F766" t="s">
        <v>2946</v>
      </c>
      <c r="G766" t="s">
        <v>1870</v>
      </c>
      <c r="H766" t="s">
        <v>2828</v>
      </c>
      <c r="I766" t="s">
        <v>394</v>
      </c>
      <c r="J766" t="s">
        <v>672</v>
      </c>
      <c r="K766" t="s">
        <v>71</v>
      </c>
      <c r="L766" s="1">
        <v>44776</v>
      </c>
      <c r="M766" s="2">
        <v>514773</v>
      </c>
      <c r="N766" s="2" t="s">
        <v>2950</v>
      </c>
      <c r="O766" t="s">
        <v>216</v>
      </c>
      <c r="P766" t="s">
        <v>152</v>
      </c>
      <c r="Q766" t="s">
        <v>65</v>
      </c>
      <c r="R766">
        <v>3.8</v>
      </c>
      <c r="S766" t="s">
        <v>2952</v>
      </c>
    </row>
    <row r="767" spans="1:19" x14ac:dyDescent="0.3">
      <c r="A767" t="s">
        <v>1876</v>
      </c>
      <c r="B767" t="s">
        <v>224</v>
      </c>
      <c r="C767" t="s">
        <v>93</v>
      </c>
      <c r="D767" t="s">
        <v>45</v>
      </c>
      <c r="E767">
        <v>35</v>
      </c>
      <c r="F767" t="s">
        <v>2946</v>
      </c>
      <c r="G767" t="s">
        <v>1872</v>
      </c>
      <c r="H767" t="s">
        <v>1873</v>
      </c>
      <c r="I767" t="s">
        <v>394</v>
      </c>
      <c r="J767" t="s">
        <v>231</v>
      </c>
      <c r="K767" t="s">
        <v>71</v>
      </c>
      <c r="L767" s="1">
        <v>43102</v>
      </c>
      <c r="M767" s="2">
        <v>671690</v>
      </c>
      <c r="N767" s="2" t="s">
        <v>2950</v>
      </c>
      <c r="O767" t="s">
        <v>253</v>
      </c>
      <c r="P767" t="s">
        <v>90</v>
      </c>
      <c r="Q767" t="s">
        <v>244</v>
      </c>
      <c r="R767">
        <v>8.4</v>
      </c>
      <c r="S767" t="s">
        <v>2951</v>
      </c>
    </row>
    <row r="768" spans="1:19" x14ac:dyDescent="0.3">
      <c r="A768" t="s">
        <v>1878</v>
      </c>
      <c r="B768" t="s">
        <v>61</v>
      </c>
      <c r="C768" t="s">
        <v>104</v>
      </c>
      <c r="D768" t="s">
        <v>24</v>
      </c>
      <c r="F768" t="s">
        <v>2369</v>
      </c>
      <c r="G768" t="s">
        <v>1875</v>
      </c>
      <c r="H768" t="s">
        <v>2369</v>
      </c>
      <c r="I768" t="s">
        <v>209</v>
      </c>
      <c r="J768" t="s">
        <v>292</v>
      </c>
      <c r="K768" t="s">
        <v>35</v>
      </c>
      <c r="L768" s="1">
        <v>42401</v>
      </c>
      <c r="M768" s="2">
        <v>514984</v>
      </c>
      <c r="N768" s="2" t="s">
        <v>2950</v>
      </c>
      <c r="O768" t="s">
        <v>130</v>
      </c>
      <c r="P768" t="s">
        <v>21</v>
      </c>
      <c r="Q768" t="s">
        <v>79</v>
      </c>
      <c r="R768">
        <v>10.3</v>
      </c>
      <c r="S768" t="s">
        <v>2951</v>
      </c>
    </row>
    <row r="769" spans="1:19" x14ac:dyDescent="0.3">
      <c r="A769" t="s">
        <v>1880</v>
      </c>
      <c r="B769" t="s">
        <v>286</v>
      </c>
      <c r="C769" t="s">
        <v>50</v>
      </c>
      <c r="D769" t="s">
        <v>24</v>
      </c>
      <c r="E769">
        <v>38</v>
      </c>
      <c r="F769" t="s">
        <v>2946</v>
      </c>
      <c r="G769" t="s">
        <v>1877</v>
      </c>
      <c r="H769" t="s">
        <v>2829</v>
      </c>
      <c r="I769" t="s">
        <v>271</v>
      </c>
      <c r="J769" t="s">
        <v>1005</v>
      </c>
      <c r="K769" t="s">
        <v>71</v>
      </c>
      <c r="L769" s="1">
        <v>43125</v>
      </c>
      <c r="M769" s="2">
        <v>337437</v>
      </c>
      <c r="N769" s="2" t="s">
        <v>2948</v>
      </c>
      <c r="O769" t="s">
        <v>111</v>
      </c>
      <c r="P769" t="s">
        <v>353</v>
      </c>
      <c r="Q769" t="s">
        <v>65</v>
      </c>
      <c r="R769">
        <v>8.3000000000000007</v>
      </c>
      <c r="S769" t="s">
        <v>2951</v>
      </c>
    </row>
    <row r="770" spans="1:19" x14ac:dyDescent="0.3">
      <c r="A770" t="s">
        <v>1882</v>
      </c>
      <c r="B770" t="s">
        <v>43</v>
      </c>
      <c r="C770" t="s">
        <v>277</v>
      </c>
      <c r="D770" t="s">
        <v>24</v>
      </c>
      <c r="E770">
        <v>41</v>
      </c>
      <c r="F770" t="s">
        <v>2946</v>
      </c>
      <c r="G770" t="s">
        <v>1879</v>
      </c>
      <c r="H770" t="s">
        <v>2369</v>
      </c>
      <c r="I770" t="s">
        <v>53</v>
      </c>
      <c r="J770" t="s">
        <v>54</v>
      </c>
      <c r="K770" t="s">
        <v>28</v>
      </c>
      <c r="L770" s="1">
        <v>42863</v>
      </c>
      <c r="M770" s="2">
        <v>426153</v>
      </c>
      <c r="N770" s="2" t="s">
        <v>2948</v>
      </c>
      <c r="O770" t="s">
        <v>253</v>
      </c>
      <c r="P770" t="s">
        <v>90</v>
      </c>
      <c r="Q770" t="s">
        <v>244</v>
      </c>
      <c r="R770">
        <v>9</v>
      </c>
      <c r="S770" t="s">
        <v>2951</v>
      </c>
    </row>
    <row r="771" spans="1:19" x14ac:dyDescent="0.3">
      <c r="A771" t="s">
        <v>2354</v>
      </c>
      <c r="B771" t="s">
        <v>187</v>
      </c>
      <c r="C771" t="s">
        <v>348</v>
      </c>
      <c r="D771" t="s">
        <v>45</v>
      </c>
      <c r="E771">
        <v>35</v>
      </c>
      <c r="F771" t="s">
        <v>2946</v>
      </c>
      <c r="G771" t="s">
        <v>1881</v>
      </c>
      <c r="H771" t="s">
        <v>2830</v>
      </c>
      <c r="I771" t="s">
        <v>271</v>
      </c>
      <c r="J771" t="s">
        <v>1032</v>
      </c>
      <c r="K771" t="s">
        <v>35</v>
      </c>
      <c r="L771" s="1">
        <v>44471</v>
      </c>
      <c r="M771" s="2">
        <v>312375</v>
      </c>
      <c r="N771" s="2" t="s">
        <v>2948</v>
      </c>
      <c r="O771" t="s">
        <v>130</v>
      </c>
      <c r="P771" t="s">
        <v>21</v>
      </c>
      <c r="Q771" t="s">
        <v>158</v>
      </c>
      <c r="R771">
        <v>4.5999999999999996</v>
      </c>
      <c r="S771" t="s">
        <v>2952</v>
      </c>
    </row>
    <row r="772" spans="1:19" x14ac:dyDescent="0.3">
      <c r="A772" t="s">
        <v>1886</v>
      </c>
      <c r="B772" t="s">
        <v>385</v>
      </c>
      <c r="C772" t="s">
        <v>249</v>
      </c>
      <c r="D772" t="s">
        <v>24</v>
      </c>
      <c r="E772">
        <v>29</v>
      </c>
      <c r="F772" t="s">
        <v>2945</v>
      </c>
      <c r="G772" t="s">
        <v>1883</v>
      </c>
      <c r="H772" t="s">
        <v>1884</v>
      </c>
      <c r="I772" t="s">
        <v>485</v>
      </c>
      <c r="J772" t="s">
        <v>398</v>
      </c>
      <c r="K772" t="s">
        <v>48</v>
      </c>
      <c r="L772" s="1">
        <v>43464</v>
      </c>
      <c r="M772" s="2">
        <v>432366</v>
      </c>
      <c r="N772" s="2" t="s">
        <v>2948</v>
      </c>
      <c r="O772" t="s">
        <v>111</v>
      </c>
      <c r="P772" t="s">
        <v>152</v>
      </c>
      <c r="Q772" t="s">
        <v>158</v>
      </c>
      <c r="R772">
        <v>7.4</v>
      </c>
      <c r="S772" t="s">
        <v>2953</v>
      </c>
    </row>
    <row r="773" spans="1:19" x14ac:dyDescent="0.3">
      <c r="A773" t="s">
        <v>1889</v>
      </c>
      <c r="B773" t="s">
        <v>326</v>
      </c>
      <c r="C773" t="s">
        <v>82</v>
      </c>
      <c r="D773" t="s">
        <v>45</v>
      </c>
      <c r="E773">
        <v>38</v>
      </c>
      <c r="F773" t="s">
        <v>2946</v>
      </c>
      <c r="G773" t="s">
        <v>1885</v>
      </c>
      <c r="H773" t="s">
        <v>2831</v>
      </c>
      <c r="I773" t="s">
        <v>485</v>
      </c>
      <c r="J773" t="s">
        <v>486</v>
      </c>
      <c r="K773" t="s">
        <v>71</v>
      </c>
      <c r="L773" s="1">
        <v>42177</v>
      </c>
      <c r="M773" s="2">
        <v>669863</v>
      </c>
      <c r="N773" s="2" t="s">
        <v>2950</v>
      </c>
      <c r="O773" t="s">
        <v>130</v>
      </c>
      <c r="P773" t="s">
        <v>152</v>
      </c>
      <c r="Q773" t="s">
        <v>244</v>
      </c>
      <c r="R773">
        <v>10.9</v>
      </c>
      <c r="S773" t="s">
        <v>2951</v>
      </c>
    </row>
    <row r="774" spans="1:19" x14ac:dyDescent="0.3">
      <c r="A774" t="s">
        <v>1891</v>
      </c>
      <c r="B774" t="s">
        <v>119</v>
      </c>
      <c r="C774" t="s">
        <v>86</v>
      </c>
      <c r="D774" t="s">
        <v>24</v>
      </c>
      <c r="E774">
        <v>30</v>
      </c>
      <c r="F774" t="s">
        <v>2945</v>
      </c>
      <c r="G774" t="s">
        <v>1887</v>
      </c>
      <c r="H774" t="s">
        <v>1888</v>
      </c>
      <c r="I774" t="s">
        <v>368</v>
      </c>
      <c r="J774" t="s">
        <v>192</v>
      </c>
      <c r="K774" t="s">
        <v>48</v>
      </c>
      <c r="L774" s="1">
        <v>42340</v>
      </c>
      <c r="M774" s="2">
        <v>207337</v>
      </c>
      <c r="N774" s="2" t="s">
        <v>2948</v>
      </c>
      <c r="O774" t="s">
        <v>41</v>
      </c>
      <c r="P774" t="s">
        <v>152</v>
      </c>
      <c r="Q774" t="s">
        <v>79</v>
      </c>
      <c r="R774">
        <v>10.5</v>
      </c>
      <c r="S774" t="s">
        <v>2951</v>
      </c>
    </row>
    <row r="775" spans="1:19" x14ac:dyDescent="0.3">
      <c r="A775" t="s">
        <v>1894</v>
      </c>
      <c r="B775" t="s">
        <v>132</v>
      </c>
      <c r="C775" t="s">
        <v>57</v>
      </c>
      <c r="D775" t="s">
        <v>24</v>
      </c>
      <c r="E775">
        <v>22</v>
      </c>
      <c r="F775" t="s">
        <v>2945</v>
      </c>
      <c r="G775" t="s">
        <v>1890</v>
      </c>
      <c r="H775" t="s">
        <v>2832</v>
      </c>
      <c r="I775" t="s">
        <v>100</v>
      </c>
      <c r="J775" t="s">
        <v>421</v>
      </c>
      <c r="K775" t="s">
        <v>28</v>
      </c>
      <c r="L775" s="1">
        <v>42894</v>
      </c>
      <c r="M775" s="2">
        <v>522700</v>
      </c>
      <c r="N775" s="2" t="s">
        <v>2950</v>
      </c>
      <c r="O775" t="s">
        <v>41</v>
      </c>
      <c r="P775" t="s">
        <v>205</v>
      </c>
      <c r="Q775" t="s">
        <v>158</v>
      </c>
      <c r="R775">
        <v>8.9</v>
      </c>
      <c r="S775" t="s">
        <v>2951</v>
      </c>
    </row>
    <row r="776" spans="1:19" x14ac:dyDescent="0.3">
      <c r="A776" t="s">
        <v>1897</v>
      </c>
      <c r="B776" t="s">
        <v>67</v>
      </c>
      <c r="C776" t="s">
        <v>23</v>
      </c>
      <c r="D776" t="s">
        <v>45</v>
      </c>
      <c r="E776">
        <v>24</v>
      </c>
      <c r="F776" t="s">
        <v>2945</v>
      </c>
      <c r="G776" t="s">
        <v>1892</v>
      </c>
      <c r="H776" t="s">
        <v>1893</v>
      </c>
      <c r="I776" t="s">
        <v>53</v>
      </c>
      <c r="J776" t="s">
        <v>659</v>
      </c>
      <c r="K776" t="s">
        <v>71</v>
      </c>
      <c r="L776" s="1">
        <v>44345</v>
      </c>
      <c r="M776" s="2">
        <v>765623</v>
      </c>
      <c r="N776" s="2" t="s">
        <v>2950</v>
      </c>
      <c r="O776" t="s">
        <v>111</v>
      </c>
      <c r="P776" t="s">
        <v>152</v>
      </c>
      <c r="Q776" t="s">
        <v>72</v>
      </c>
      <c r="R776">
        <v>5</v>
      </c>
      <c r="S776" t="s">
        <v>2952</v>
      </c>
    </row>
    <row r="777" spans="1:19" x14ac:dyDescent="0.3">
      <c r="A777" t="s">
        <v>1900</v>
      </c>
      <c r="B777" t="s">
        <v>233</v>
      </c>
      <c r="C777" t="s">
        <v>141</v>
      </c>
      <c r="D777" t="s">
        <v>24</v>
      </c>
      <c r="E777">
        <v>30</v>
      </c>
      <c r="F777" t="s">
        <v>2945</v>
      </c>
      <c r="G777" t="s">
        <v>1895</v>
      </c>
      <c r="H777" t="s">
        <v>1896</v>
      </c>
      <c r="I777" t="s">
        <v>209</v>
      </c>
      <c r="J777" t="s">
        <v>210</v>
      </c>
      <c r="K777" t="s">
        <v>28</v>
      </c>
      <c r="L777" s="1">
        <v>44816</v>
      </c>
      <c r="M777" s="2">
        <v>486239</v>
      </c>
      <c r="N777" s="2" t="s">
        <v>2948</v>
      </c>
      <c r="O777" t="s">
        <v>111</v>
      </c>
      <c r="P777" t="s">
        <v>21</v>
      </c>
      <c r="Q777" t="s">
        <v>79</v>
      </c>
      <c r="R777">
        <v>3.7</v>
      </c>
      <c r="S777" t="s">
        <v>2952</v>
      </c>
    </row>
    <row r="778" spans="1:19" x14ac:dyDescent="0.3">
      <c r="A778" t="s">
        <v>1903</v>
      </c>
      <c r="B778" t="s">
        <v>160</v>
      </c>
      <c r="C778" t="s">
        <v>327</v>
      </c>
      <c r="D778" t="s">
        <v>24</v>
      </c>
      <c r="E778">
        <v>34</v>
      </c>
      <c r="F778" t="s">
        <v>2946</v>
      </c>
      <c r="G778" t="s">
        <v>1898</v>
      </c>
      <c r="H778" t="s">
        <v>1899</v>
      </c>
      <c r="I778" t="s">
        <v>100</v>
      </c>
      <c r="J778" t="s">
        <v>603</v>
      </c>
      <c r="K778" t="s">
        <v>35</v>
      </c>
      <c r="M778" s="2">
        <v>268021</v>
      </c>
      <c r="N778" s="2" t="s">
        <v>2948</v>
      </c>
      <c r="O778" t="s">
        <v>130</v>
      </c>
      <c r="P778" t="s">
        <v>353</v>
      </c>
      <c r="Q778" t="s">
        <v>158</v>
      </c>
      <c r="R778">
        <v>8.3000000000000007</v>
      </c>
      <c r="S778" t="s">
        <v>2951</v>
      </c>
    </row>
    <row r="779" spans="1:19" x14ac:dyDescent="0.3">
      <c r="A779" t="s">
        <v>1905</v>
      </c>
      <c r="B779" t="s">
        <v>92</v>
      </c>
      <c r="C779" t="s">
        <v>18</v>
      </c>
      <c r="D779" t="s">
        <v>45</v>
      </c>
      <c r="E779">
        <v>39</v>
      </c>
      <c r="F779" t="s">
        <v>2946</v>
      </c>
      <c r="G779" t="s">
        <v>1901</v>
      </c>
      <c r="H779" t="s">
        <v>1902</v>
      </c>
      <c r="I779" t="s">
        <v>368</v>
      </c>
      <c r="J779" t="s">
        <v>330</v>
      </c>
      <c r="K779" t="s">
        <v>35</v>
      </c>
      <c r="L779" s="1">
        <v>42606</v>
      </c>
      <c r="M779" s="2">
        <v>686760</v>
      </c>
      <c r="N779" s="2" t="s">
        <v>2950</v>
      </c>
      <c r="O779" t="s">
        <v>198</v>
      </c>
      <c r="P779" t="s">
        <v>205</v>
      </c>
      <c r="Q779" t="s">
        <v>79</v>
      </c>
      <c r="R779">
        <v>9.6999999999999993</v>
      </c>
      <c r="S779" t="s">
        <v>2951</v>
      </c>
    </row>
    <row r="780" spans="1:19" x14ac:dyDescent="0.3">
      <c r="A780" t="s">
        <v>1907</v>
      </c>
      <c r="B780" t="s">
        <v>187</v>
      </c>
      <c r="C780" t="s">
        <v>221</v>
      </c>
      <c r="D780" t="s">
        <v>24</v>
      </c>
      <c r="E780">
        <v>48</v>
      </c>
      <c r="F780" t="s">
        <v>2947</v>
      </c>
      <c r="G780" t="s">
        <v>1904</v>
      </c>
      <c r="H780" t="s">
        <v>2369</v>
      </c>
      <c r="I780" t="s">
        <v>209</v>
      </c>
      <c r="J780" t="s">
        <v>210</v>
      </c>
      <c r="K780" t="s">
        <v>71</v>
      </c>
      <c r="L780" s="1">
        <v>43277</v>
      </c>
      <c r="M780" s="2">
        <v>250524</v>
      </c>
      <c r="N780" s="2" t="s">
        <v>2948</v>
      </c>
      <c r="O780" t="s">
        <v>111</v>
      </c>
      <c r="P780" t="s">
        <v>205</v>
      </c>
      <c r="Q780" t="s">
        <v>244</v>
      </c>
      <c r="R780">
        <v>7.9</v>
      </c>
      <c r="S780" t="s">
        <v>2953</v>
      </c>
    </row>
    <row r="781" spans="1:19" x14ac:dyDescent="0.3">
      <c r="A781" t="s">
        <v>1910</v>
      </c>
      <c r="B781" t="s">
        <v>119</v>
      </c>
      <c r="C781" t="s">
        <v>104</v>
      </c>
      <c r="D781" t="s">
        <v>24</v>
      </c>
      <c r="E781">
        <v>45</v>
      </c>
      <c r="F781" t="s">
        <v>2946</v>
      </c>
      <c r="G781" t="s">
        <v>1906</v>
      </c>
      <c r="H781" t="s">
        <v>2369</v>
      </c>
      <c r="I781" t="s">
        <v>485</v>
      </c>
      <c r="J781" t="s">
        <v>27</v>
      </c>
      <c r="K781" t="s">
        <v>71</v>
      </c>
      <c r="L781" s="1">
        <v>43036</v>
      </c>
      <c r="M781" s="2">
        <v>432750</v>
      </c>
      <c r="N781" s="2" t="s">
        <v>2948</v>
      </c>
      <c r="O781" t="s">
        <v>111</v>
      </c>
      <c r="P781" t="s">
        <v>90</v>
      </c>
      <c r="Q781" t="s">
        <v>65</v>
      </c>
      <c r="R781">
        <v>8.5</v>
      </c>
      <c r="S781" t="s">
        <v>2951</v>
      </c>
    </row>
    <row r="782" spans="1:19" x14ac:dyDescent="0.3">
      <c r="A782" t="s">
        <v>1912</v>
      </c>
      <c r="B782" t="s">
        <v>44</v>
      </c>
      <c r="C782" t="s">
        <v>155</v>
      </c>
      <c r="D782" t="s">
        <v>24</v>
      </c>
      <c r="E782">
        <v>27</v>
      </c>
      <c r="F782" t="s">
        <v>2945</v>
      </c>
      <c r="G782" t="s">
        <v>1908</v>
      </c>
      <c r="H782" t="s">
        <v>1909</v>
      </c>
      <c r="I782" t="s">
        <v>271</v>
      </c>
      <c r="J782" t="s">
        <v>1005</v>
      </c>
      <c r="K782" t="s">
        <v>71</v>
      </c>
      <c r="L782" s="1">
        <v>43215</v>
      </c>
      <c r="M782" s="2">
        <v>826452</v>
      </c>
      <c r="N782" s="2" t="s">
        <v>2950</v>
      </c>
      <c r="O782" t="s">
        <v>111</v>
      </c>
      <c r="P782" t="s">
        <v>152</v>
      </c>
      <c r="Q782" t="s">
        <v>72</v>
      </c>
      <c r="R782">
        <v>8.1</v>
      </c>
      <c r="S782" t="s">
        <v>2951</v>
      </c>
    </row>
    <row r="783" spans="1:19" x14ac:dyDescent="0.3">
      <c r="A783" t="s">
        <v>1914</v>
      </c>
      <c r="B783" t="s">
        <v>301</v>
      </c>
      <c r="C783" t="s">
        <v>213</v>
      </c>
      <c r="D783" t="s">
        <v>24</v>
      </c>
      <c r="E783">
        <v>53</v>
      </c>
      <c r="F783" t="s">
        <v>2947</v>
      </c>
      <c r="G783" t="s">
        <v>1911</v>
      </c>
      <c r="H783" t="s">
        <v>2833</v>
      </c>
      <c r="I783" t="s">
        <v>235</v>
      </c>
      <c r="J783" t="s">
        <v>544</v>
      </c>
      <c r="K783" t="s">
        <v>35</v>
      </c>
      <c r="M783" s="2">
        <v>396174</v>
      </c>
      <c r="N783" s="2" t="s">
        <v>2948</v>
      </c>
      <c r="O783" t="s">
        <v>130</v>
      </c>
      <c r="P783" t="s">
        <v>90</v>
      </c>
      <c r="Q783" t="s">
        <v>158</v>
      </c>
      <c r="R783">
        <v>8.1</v>
      </c>
      <c r="S783" t="s">
        <v>2951</v>
      </c>
    </row>
    <row r="784" spans="1:19" x14ac:dyDescent="0.3">
      <c r="A784" t="s">
        <v>1916</v>
      </c>
      <c r="B784" t="s">
        <v>119</v>
      </c>
      <c r="C784" t="s">
        <v>213</v>
      </c>
      <c r="D784" t="s">
        <v>24</v>
      </c>
      <c r="E784">
        <v>29</v>
      </c>
      <c r="F784" t="s">
        <v>2945</v>
      </c>
      <c r="G784" t="s">
        <v>1913</v>
      </c>
      <c r="H784" t="s">
        <v>2369</v>
      </c>
      <c r="I784" t="s">
        <v>517</v>
      </c>
      <c r="J784" t="s">
        <v>151</v>
      </c>
      <c r="K784" t="s">
        <v>71</v>
      </c>
      <c r="L784" s="1">
        <v>43850</v>
      </c>
      <c r="M784" s="2">
        <v>296782</v>
      </c>
      <c r="N784" s="2" t="s">
        <v>2948</v>
      </c>
      <c r="O784" t="s">
        <v>130</v>
      </c>
      <c r="P784" t="s">
        <v>205</v>
      </c>
      <c r="Q784" t="s">
        <v>65</v>
      </c>
      <c r="R784">
        <v>6.3</v>
      </c>
      <c r="S784" t="s">
        <v>2953</v>
      </c>
    </row>
    <row r="785" spans="1:19" x14ac:dyDescent="0.3">
      <c r="A785" t="s">
        <v>1918</v>
      </c>
      <c r="B785" t="s">
        <v>416</v>
      </c>
      <c r="C785" t="s">
        <v>408</v>
      </c>
      <c r="D785" t="s">
        <v>45</v>
      </c>
      <c r="E785">
        <v>38</v>
      </c>
      <c r="F785" t="s">
        <v>2946</v>
      </c>
      <c r="G785" t="s">
        <v>1915</v>
      </c>
      <c r="H785" t="s">
        <v>2834</v>
      </c>
      <c r="I785" t="s">
        <v>394</v>
      </c>
      <c r="J785" t="s">
        <v>231</v>
      </c>
      <c r="K785" t="s">
        <v>35</v>
      </c>
      <c r="L785" s="1">
        <v>42552</v>
      </c>
      <c r="M785" s="2">
        <v>527387</v>
      </c>
      <c r="N785" s="2" t="s">
        <v>2950</v>
      </c>
      <c r="O785" t="s">
        <v>111</v>
      </c>
      <c r="P785" t="s">
        <v>90</v>
      </c>
      <c r="Q785" t="s">
        <v>244</v>
      </c>
      <c r="R785">
        <v>9.9</v>
      </c>
      <c r="S785" t="s">
        <v>2951</v>
      </c>
    </row>
    <row r="786" spans="1:19" x14ac:dyDescent="0.3">
      <c r="A786" t="s">
        <v>1920</v>
      </c>
      <c r="B786" t="s">
        <v>145</v>
      </c>
      <c r="C786" t="s">
        <v>68</v>
      </c>
      <c r="D786" t="s">
        <v>45</v>
      </c>
      <c r="E786">
        <v>23</v>
      </c>
      <c r="F786" t="s">
        <v>2945</v>
      </c>
      <c r="G786" t="s">
        <v>1917</v>
      </c>
      <c r="H786" t="s">
        <v>2835</v>
      </c>
      <c r="I786" t="s">
        <v>517</v>
      </c>
      <c r="J786" t="s">
        <v>284</v>
      </c>
      <c r="K786" t="s">
        <v>28</v>
      </c>
      <c r="M786" s="2">
        <v>576856</v>
      </c>
      <c r="N786" s="2" t="s">
        <v>2950</v>
      </c>
      <c r="O786" t="s">
        <v>216</v>
      </c>
      <c r="P786" t="s">
        <v>353</v>
      </c>
      <c r="Q786" t="s">
        <v>79</v>
      </c>
      <c r="R786">
        <v>10.4</v>
      </c>
      <c r="S786" t="s">
        <v>2951</v>
      </c>
    </row>
    <row r="787" spans="1:19" x14ac:dyDescent="0.3">
      <c r="A787" t="s">
        <v>1921</v>
      </c>
      <c r="B787" t="s">
        <v>43</v>
      </c>
      <c r="C787" t="s">
        <v>93</v>
      </c>
      <c r="D787" t="s">
        <v>45</v>
      </c>
      <c r="E787">
        <v>26</v>
      </c>
      <c r="F787" t="s">
        <v>2945</v>
      </c>
      <c r="G787" t="s">
        <v>1919</v>
      </c>
      <c r="H787" t="s">
        <v>2836</v>
      </c>
      <c r="I787" t="s">
        <v>394</v>
      </c>
      <c r="J787" t="s">
        <v>231</v>
      </c>
      <c r="K787" t="s">
        <v>71</v>
      </c>
      <c r="L787" s="1">
        <v>43057</v>
      </c>
      <c r="M787" s="2">
        <v>704547</v>
      </c>
      <c r="N787" s="2" t="s">
        <v>2950</v>
      </c>
      <c r="O787" t="s">
        <v>130</v>
      </c>
      <c r="P787" t="s">
        <v>90</v>
      </c>
      <c r="Q787" t="s">
        <v>79</v>
      </c>
      <c r="R787">
        <v>8.5</v>
      </c>
      <c r="S787" t="s">
        <v>2951</v>
      </c>
    </row>
    <row r="788" spans="1:19" x14ac:dyDescent="0.3">
      <c r="A788" t="s">
        <v>1924</v>
      </c>
      <c r="B788" t="s">
        <v>224</v>
      </c>
      <c r="C788" t="s">
        <v>237</v>
      </c>
      <c r="D788" t="s">
        <v>24</v>
      </c>
      <c r="E788">
        <v>38</v>
      </c>
      <c r="F788" t="s">
        <v>2946</v>
      </c>
      <c r="G788" t="s">
        <v>2454</v>
      </c>
      <c r="H788" t="s">
        <v>2837</v>
      </c>
      <c r="I788" t="s">
        <v>592</v>
      </c>
      <c r="J788" t="s">
        <v>290</v>
      </c>
      <c r="K788" t="s">
        <v>71</v>
      </c>
      <c r="L788" s="1">
        <v>43579</v>
      </c>
      <c r="M788" s="2">
        <v>895097</v>
      </c>
      <c r="N788" s="2" t="s">
        <v>2950</v>
      </c>
      <c r="O788" t="s">
        <v>198</v>
      </c>
      <c r="P788" t="s">
        <v>353</v>
      </c>
      <c r="Q788" t="s">
        <v>72</v>
      </c>
      <c r="R788">
        <v>7.1</v>
      </c>
      <c r="S788" t="s">
        <v>2953</v>
      </c>
    </row>
    <row r="789" spans="1:19" x14ac:dyDescent="0.3">
      <c r="A789" t="s">
        <v>1926</v>
      </c>
      <c r="B789" t="s">
        <v>416</v>
      </c>
      <c r="C789" t="s">
        <v>62</v>
      </c>
      <c r="D789" t="s">
        <v>24</v>
      </c>
      <c r="E789">
        <v>34</v>
      </c>
      <c r="F789" t="s">
        <v>2946</v>
      </c>
      <c r="G789" t="s">
        <v>1922</v>
      </c>
      <c r="H789" t="s">
        <v>1923</v>
      </c>
      <c r="I789" t="s">
        <v>485</v>
      </c>
      <c r="J789" t="s">
        <v>398</v>
      </c>
      <c r="K789" t="s">
        <v>48</v>
      </c>
      <c r="L789" s="1">
        <v>44798</v>
      </c>
      <c r="M789" s="2">
        <v>545495</v>
      </c>
      <c r="N789" s="2" t="s">
        <v>2950</v>
      </c>
      <c r="O789" t="s">
        <v>130</v>
      </c>
      <c r="P789" t="s">
        <v>21</v>
      </c>
      <c r="Q789" t="s">
        <v>244</v>
      </c>
      <c r="R789">
        <v>3.7</v>
      </c>
      <c r="S789" t="s">
        <v>2952</v>
      </c>
    </row>
    <row r="790" spans="1:19" x14ac:dyDescent="0.3">
      <c r="A790" t="s">
        <v>1928</v>
      </c>
      <c r="B790" t="s">
        <v>103</v>
      </c>
      <c r="C790" t="s">
        <v>362</v>
      </c>
      <c r="D790" t="s">
        <v>45</v>
      </c>
      <c r="E790">
        <v>39</v>
      </c>
      <c r="F790" t="s">
        <v>2946</v>
      </c>
      <c r="G790" t="s">
        <v>1925</v>
      </c>
      <c r="H790" t="s">
        <v>2838</v>
      </c>
      <c r="I790" t="s">
        <v>235</v>
      </c>
      <c r="J790" t="s">
        <v>219</v>
      </c>
      <c r="K790" t="s">
        <v>71</v>
      </c>
      <c r="L790" s="1">
        <v>43687</v>
      </c>
      <c r="M790" s="2">
        <v>367107</v>
      </c>
      <c r="N790" s="2" t="s">
        <v>2948</v>
      </c>
      <c r="O790" t="s">
        <v>253</v>
      </c>
      <c r="P790" t="s">
        <v>21</v>
      </c>
      <c r="Q790" t="s">
        <v>72</v>
      </c>
      <c r="R790">
        <v>6.8</v>
      </c>
      <c r="S790" t="s">
        <v>2953</v>
      </c>
    </row>
    <row r="791" spans="1:19" x14ac:dyDescent="0.3">
      <c r="A791" t="s">
        <v>2355</v>
      </c>
      <c r="B791" t="s">
        <v>348</v>
      </c>
      <c r="C791" t="s">
        <v>475</v>
      </c>
      <c r="D791" t="s">
        <v>24</v>
      </c>
      <c r="E791">
        <v>39</v>
      </c>
      <c r="F791" t="s">
        <v>2946</v>
      </c>
      <c r="G791" t="s">
        <v>1927</v>
      </c>
      <c r="H791" t="s">
        <v>2839</v>
      </c>
      <c r="I791" t="s">
        <v>209</v>
      </c>
      <c r="J791" t="s">
        <v>78</v>
      </c>
      <c r="K791" t="s">
        <v>48</v>
      </c>
      <c r="L791" s="1">
        <v>44295</v>
      </c>
      <c r="N791" s="2" t="s">
        <v>2369</v>
      </c>
      <c r="O791" t="s">
        <v>253</v>
      </c>
      <c r="P791" t="s">
        <v>152</v>
      </c>
      <c r="Q791" t="s">
        <v>72</v>
      </c>
      <c r="R791">
        <v>5.0999999999999996</v>
      </c>
      <c r="S791" t="s">
        <v>2953</v>
      </c>
    </row>
    <row r="792" spans="1:19" x14ac:dyDescent="0.3">
      <c r="A792" t="s">
        <v>1931</v>
      </c>
      <c r="B792" t="s">
        <v>160</v>
      </c>
      <c r="C792" t="s">
        <v>264</v>
      </c>
      <c r="D792" t="s">
        <v>24</v>
      </c>
      <c r="E792">
        <v>46</v>
      </c>
      <c r="F792" t="s">
        <v>2947</v>
      </c>
      <c r="G792" t="s">
        <v>1929</v>
      </c>
      <c r="H792" t="s">
        <v>2840</v>
      </c>
      <c r="I792" t="s">
        <v>394</v>
      </c>
      <c r="J792" t="s">
        <v>395</v>
      </c>
      <c r="K792" t="s">
        <v>71</v>
      </c>
      <c r="L792" s="1">
        <v>42010</v>
      </c>
      <c r="M792" s="2">
        <v>836768</v>
      </c>
      <c r="N792" s="2" t="s">
        <v>2950</v>
      </c>
      <c r="O792" t="s">
        <v>130</v>
      </c>
      <c r="P792" t="s">
        <v>152</v>
      </c>
      <c r="Q792" t="s">
        <v>65</v>
      </c>
      <c r="R792">
        <v>11.4</v>
      </c>
      <c r="S792" t="s">
        <v>2951</v>
      </c>
    </row>
    <row r="793" spans="1:19" x14ac:dyDescent="0.3">
      <c r="A793" t="s">
        <v>2356</v>
      </c>
      <c r="B793" t="s">
        <v>359</v>
      </c>
      <c r="C793" t="s">
        <v>82</v>
      </c>
      <c r="D793" t="s">
        <v>24</v>
      </c>
      <c r="E793">
        <v>27</v>
      </c>
      <c r="F793" t="s">
        <v>2945</v>
      </c>
      <c r="G793" t="s">
        <v>1930</v>
      </c>
      <c r="H793" t="s">
        <v>2841</v>
      </c>
      <c r="I793" t="s">
        <v>394</v>
      </c>
      <c r="K793" t="s">
        <v>28</v>
      </c>
      <c r="L793" s="1">
        <v>42290</v>
      </c>
      <c r="M793" s="2">
        <v>135964</v>
      </c>
      <c r="N793" s="2" t="s">
        <v>2949</v>
      </c>
      <c r="O793" t="s">
        <v>253</v>
      </c>
      <c r="P793" t="s">
        <v>21</v>
      </c>
      <c r="Q793" t="s">
        <v>244</v>
      </c>
      <c r="R793">
        <v>10.6</v>
      </c>
      <c r="S793" t="s">
        <v>2951</v>
      </c>
    </row>
    <row r="794" spans="1:19" x14ac:dyDescent="0.3">
      <c r="A794" t="s">
        <v>1934</v>
      </c>
      <c r="B794" t="s">
        <v>67</v>
      </c>
      <c r="C794" t="s">
        <v>75</v>
      </c>
      <c r="D794" t="s">
        <v>24</v>
      </c>
      <c r="E794">
        <v>47</v>
      </c>
      <c r="F794" t="s">
        <v>2947</v>
      </c>
      <c r="G794" t="s">
        <v>1932</v>
      </c>
      <c r="H794" t="s">
        <v>2369</v>
      </c>
      <c r="I794" t="s">
        <v>592</v>
      </c>
      <c r="J794" t="s">
        <v>522</v>
      </c>
      <c r="K794" t="s">
        <v>71</v>
      </c>
      <c r="L794" s="1">
        <v>43919</v>
      </c>
      <c r="M794" s="2">
        <v>110401</v>
      </c>
      <c r="N794" s="2" t="s">
        <v>2949</v>
      </c>
      <c r="O794" t="s">
        <v>111</v>
      </c>
      <c r="P794" t="s">
        <v>205</v>
      </c>
      <c r="Q794" t="s">
        <v>79</v>
      </c>
      <c r="R794">
        <v>6.1</v>
      </c>
      <c r="S794" t="s">
        <v>2953</v>
      </c>
    </row>
    <row r="795" spans="1:19" x14ac:dyDescent="0.3">
      <c r="A795" t="s">
        <v>1936</v>
      </c>
      <c r="B795" t="s">
        <v>17</v>
      </c>
      <c r="C795" t="s">
        <v>249</v>
      </c>
      <c r="D795" t="s">
        <v>45</v>
      </c>
      <c r="E795">
        <v>39</v>
      </c>
      <c r="F795" t="s">
        <v>2946</v>
      </c>
      <c r="G795" t="s">
        <v>1933</v>
      </c>
      <c r="H795" t="s">
        <v>2842</v>
      </c>
      <c r="I795" t="s">
        <v>485</v>
      </c>
      <c r="J795" t="s">
        <v>398</v>
      </c>
      <c r="K795" t="s">
        <v>35</v>
      </c>
      <c r="L795" s="1">
        <v>42068</v>
      </c>
      <c r="M795" s="2">
        <v>528073</v>
      </c>
      <c r="N795" s="2" t="s">
        <v>2950</v>
      </c>
      <c r="O795" t="s">
        <v>130</v>
      </c>
      <c r="P795" t="s">
        <v>152</v>
      </c>
      <c r="Q795" t="s">
        <v>158</v>
      </c>
      <c r="R795">
        <v>11</v>
      </c>
      <c r="S795" t="s">
        <v>2951</v>
      </c>
    </row>
    <row r="796" spans="1:19" x14ac:dyDescent="0.3">
      <c r="A796" t="s">
        <v>1938</v>
      </c>
      <c r="B796" t="s">
        <v>74</v>
      </c>
      <c r="C796" t="s">
        <v>68</v>
      </c>
      <c r="D796" t="s">
        <v>24</v>
      </c>
      <c r="E796">
        <v>54</v>
      </c>
      <c r="F796" t="s">
        <v>2947</v>
      </c>
      <c r="G796" t="s">
        <v>1935</v>
      </c>
      <c r="H796" t="s">
        <v>2369</v>
      </c>
      <c r="I796" t="s">
        <v>271</v>
      </c>
      <c r="J796" t="s">
        <v>1005</v>
      </c>
      <c r="K796" t="s">
        <v>71</v>
      </c>
      <c r="N796" s="2" t="s">
        <v>2369</v>
      </c>
      <c r="O796" t="s">
        <v>130</v>
      </c>
      <c r="P796" t="s">
        <v>21</v>
      </c>
      <c r="Q796" t="s">
        <v>65</v>
      </c>
      <c r="R796">
        <v>5.5</v>
      </c>
      <c r="S796" t="s">
        <v>2953</v>
      </c>
    </row>
    <row r="797" spans="1:19" x14ac:dyDescent="0.3">
      <c r="A797" t="s">
        <v>1940</v>
      </c>
      <c r="B797" t="s">
        <v>148</v>
      </c>
      <c r="C797" t="s">
        <v>68</v>
      </c>
      <c r="D797" t="s">
        <v>45</v>
      </c>
      <c r="E797">
        <v>22</v>
      </c>
      <c r="F797" t="s">
        <v>2945</v>
      </c>
      <c r="G797" t="s">
        <v>1937</v>
      </c>
      <c r="H797" t="s">
        <v>2369</v>
      </c>
      <c r="I797" t="s">
        <v>485</v>
      </c>
      <c r="J797" t="s">
        <v>503</v>
      </c>
      <c r="K797" t="s">
        <v>28</v>
      </c>
      <c r="M797" s="2">
        <v>357597</v>
      </c>
      <c r="N797" s="2" t="s">
        <v>2948</v>
      </c>
      <c r="O797" t="s">
        <v>130</v>
      </c>
      <c r="P797" t="s">
        <v>205</v>
      </c>
      <c r="Q797" t="s">
        <v>158</v>
      </c>
      <c r="R797">
        <v>7.4</v>
      </c>
      <c r="S797" t="s">
        <v>2953</v>
      </c>
    </row>
    <row r="798" spans="1:19" x14ac:dyDescent="0.3">
      <c r="A798" t="s">
        <v>1942</v>
      </c>
      <c r="B798" t="s">
        <v>98</v>
      </c>
      <c r="C798" t="s">
        <v>348</v>
      </c>
      <c r="D798" t="s">
        <v>24</v>
      </c>
      <c r="E798">
        <v>55</v>
      </c>
      <c r="F798" t="s">
        <v>2947</v>
      </c>
      <c r="G798" t="s">
        <v>1939</v>
      </c>
      <c r="H798" t="s">
        <v>2843</v>
      </c>
      <c r="I798" t="s">
        <v>53</v>
      </c>
      <c r="J798" t="s">
        <v>252</v>
      </c>
      <c r="K798" t="s">
        <v>28</v>
      </c>
      <c r="L798" s="1">
        <v>43841</v>
      </c>
      <c r="M798" s="2">
        <v>308080</v>
      </c>
      <c r="N798" s="2" t="s">
        <v>2948</v>
      </c>
      <c r="O798" t="s">
        <v>41</v>
      </c>
      <c r="P798" t="s">
        <v>205</v>
      </c>
      <c r="Q798" t="s">
        <v>244</v>
      </c>
      <c r="R798">
        <v>6.3</v>
      </c>
      <c r="S798" t="s">
        <v>2953</v>
      </c>
    </row>
    <row r="799" spans="1:19" x14ac:dyDescent="0.3">
      <c r="A799" t="s">
        <v>1945</v>
      </c>
      <c r="B799" t="s">
        <v>103</v>
      </c>
      <c r="C799" t="s">
        <v>213</v>
      </c>
      <c r="D799" t="s">
        <v>24</v>
      </c>
      <c r="E799">
        <v>58</v>
      </c>
      <c r="F799" t="s">
        <v>2947</v>
      </c>
      <c r="G799" t="s">
        <v>1941</v>
      </c>
      <c r="H799" t="s">
        <v>2844</v>
      </c>
      <c r="I799" t="s">
        <v>235</v>
      </c>
      <c r="J799" t="s">
        <v>338</v>
      </c>
      <c r="K799" t="s">
        <v>35</v>
      </c>
      <c r="L799" s="1">
        <v>43900</v>
      </c>
      <c r="M799" s="2">
        <v>209953</v>
      </c>
      <c r="N799" s="2" t="s">
        <v>2948</v>
      </c>
      <c r="O799" t="s">
        <v>130</v>
      </c>
      <c r="P799" t="s">
        <v>21</v>
      </c>
      <c r="Q799" t="s">
        <v>72</v>
      </c>
      <c r="R799">
        <v>5.6</v>
      </c>
      <c r="S799" t="s">
        <v>2953</v>
      </c>
    </row>
    <row r="800" spans="1:19" x14ac:dyDescent="0.3">
      <c r="A800" t="s">
        <v>1946</v>
      </c>
      <c r="B800" t="s">
        <v>175</v>
      </c>
      <c r="C800" t="s">
        <v>57</v>
      </c>
      <c r="D800" t="s">
        <v>24</v>
      </c>
      <c r="E800">
        <v>50</v>
      </c>
      <c r="F800" t="s">
        <v>2947</v>
      </c>
      <c r="G800" t="s">
        <v>1943</v>
      </c>
      <c r="H800" t="s">
        <v>1944</v>
      </c>
      <c r="I800" t="s">
        <v>368</v>
      </c>
      <c r="J800" t="s">
        <v>455</v>
      </c>
      <c r="K800" t="s">
        <v>28</v>
      </c>
      <c r="L800" s="1">
        <v>42629</v>
      </c>
      <c r="M800" s="2">
        <v>548332</v>
      </c>
      <c r="N800" s="2" t="s">
        <v>2950</v>
      </c>
      <c r="O800" t="s">
        <v>111</v>
      </c>
      <c r="P800" t="s">
        <v>152</v>
      </c>
      <c r="Q800" t="s">
        <v>72</v>
      </c>
      <c r="R800">
        <v>9.6999999999999993</v>
      </c>
      <c r="S800" t="s">
        <v>2951</v>
      </c>
    </row>
    <row r="801" spans="1:19" x14ac:dyDescent="0.3">
      <c r="A801" t="s">
        <v>1948</v>
      </c>
      <c r="B801" t="s">
        <v>85</v>
      </c>
      <c r="C801" t="s">
        <v>86</v>
      </c>
      <c r="D801" t="s">
        <v>24</v>
      </c>
      <c r="E801">
        <v>43</v>
      </c>
      <c r="F801" t="s">
        <v>2946</v>
      </c>
      <c r="G801" t="s">
        <v>87</v>
      </c>
      <c r="H801" t="s">
        <v>2845</v>
      </c>
      <c r="I801" t="s">
        <v>592</v>
      </c>
      <c r="J801" t="s">
        <v>742</v>
      </c>
      <c r="K801" t="s">
        <v>48</v>
      </c>
      <c r="L801" s="1">
        <v>44781</v>
      </c>
      <c r="M801" s="2">
        <v>671019</v>
      </c>
      <c r="N801" s="2" t="s">
        <v>2950</v>
      </c>
      <c r="O801" t="s">
        <v>111</v>
      </c>
      <c r="P801" t="s">
        <v>21</v>
      </c>
      <c r="Q801" t="s">
        <v>158</v>
      </c>
      <c r="R801">
        <v>3.8</v>
      </c>
      <c r="S801" t="s">
        <v>2952</v>
      </c>
    </row>
    <row r="802" spans="1:19" x14ac:dyDescent="0.3">
      <c r="A802" t="s">
        <v>1951</v>
      </c>
      <c r="B802" t="s">
        <v>555</v>
      </c>
      <c r="C802" t="s">
        <v>287</v>
      </c>
      <c r="D802" t="s">
        <v>24</v>
      </c>
      <c r="E802">
        <v>44</v>
      </c>
      <c r="F802" t="s">
        <v>2946</v>
      </c>
      <c r="G802" t="s">
        <v>1947</v>
      </c>
      <c r="H802" t="s">
        <v>2369</v>
      </c>
      <c r="I802" t="s">
        <v>485</v>
      </c>
      <c r="J802" t="s">
        <v>27</v>
      </c>
      <c r="K802" t="s">
        <v>48</v>
      </c>
      <c r="L802" s="1">
        <v>43191</v>
      </c>
      <c r="M802" s="2">
        <v>450348</v>
      </c>
      <c r="N802" s="2" t="s">
        <v>2948</v>
      </c>
      <c r="O802" t="s">
        <v>130</v>
      </c>
      <c r="P802" t="s">
        <v>90</v>
      </c>
      <c r="Q802" t="s">
        <v>158</v>
      </c>
      <c r="R802">
        <v>8.1</v>
      </c>
      <c r="S802" t="s">
        <v>2951</v>
      </c>
    </row>
    <row r="803" spans="1:19" x14ac:dyDescent="0.3">
      <c r="A803" t="s">
        <v>1953</v>
      </c>
      <c r="B803" t="s">
        <v>148</v>
      </c>
      <c r="C803" t="s">
        <v>327</v>
      </c>
      <c r="D803" t="s">
        <v>45</v>
      </c>
      <c r="E803">
        <v>47</v>
      </c>
      <c r="F803" t="s">
        <v>2947</v>
      </c>
      <c r="G803" t="s">
        <v>1949</v>
      </c>
      <c r="H803" t="s">
        <v>1950</v>
      </c>
      <c r="I803" t="s">
        <v>209</v>
      </c>
      <c r="J803" t="s">
        <v>811</v>
      </c>
      <c r="K803" t="s">
        <v>71</v>
      </c>
      <c r="L803" s="1">
        <v>42953</v>
      </c>
      <c r="M803" s="2">
        <v>313903</v>
      </c>
      <c r="N803" s="2" t="s">
        <v>2948</v>
      </c>
      <c r="O803" t="s">
        <v>216</v>
      </c>
      <c r="P803" t="s">
        <v>353</v>
      </c>
      <c r="Q803" t="s">
        <v>65</v>
      </c>
      <c r="R803">
        <v>8.8000000000000007</v>
      </c>
      <c r="S803" t="s">
        <v>2951</v>
      </c>
    </row>
    <row r="804" spans="1:19" x14ac:dyDescent="0.3">
      <c r="A804" t="s">
        <v>1955</v>
      </c>
      <c r="B804" t="s">
        <v>37</v>
      </c>
      <c r="C804" t="s">
        <v>277</v>
      </c>
      <c r="D804" t="s">
        <v>24</v>
      </c>
      <c r="E804">
        <v>26</v>
      </c>
      <c r="F804" t="s">
        <v>2945</v>
      </c>
      <c r="G804" t="s">
        <v>1952</v>
      </c>
      <c r="H804" t="s">
        <v>2846</v>
      </c>
      <c r="I804" t="s">
        <v>235</v>
      </c>
      <c r="J804" t="s">
        <v>1108</v>
      </c>
      <c r="K804" t="s">
        <v>71</v>
      </c>
      <c r="L804" s="1">
        <v>42699</v>
      </c>
      <c r="M804" s="2">
        <v>766694</v>
      </c>
      <c r="N804" s="2" t="s">
        <v>2950</v>
      </c>
      <c r="O804" t="s">
        <v>216</v>
      </c>
      <c r="P804" t="s">
        <v>353</v>
      </c>
      <c r="Q804" t="s">
        <v>72</v>
      </c>
      <c r="R804">
        <v>9.5</v>
      </c>
      <c r="S804" t="s">
        <v>2951</v>
      </c>
    </row>
    <row r="805" spans="1:19" x14ac:dyDescent="0.3">
      <c r="A805" t="s">
        <v>1956</v>
      </c>
      <c r="B805" t="s">
        <v>348</v>
      </c>
      <c r="C805" t="s">
        <v>336</v>
      </c>
      <c r="D805" t="s">
        <v>24</v>
      </c>
      <c r="E805">
        <v>42</v>
      </c>
      <c r="F805" t="s">
        <v>2946</v>
      </c>
      <c r="G805" t="s">
        <v>1954</v>
      </c>
      <c r="H805" t="s">
        <v>2847</v>
      </c>
      <c r="I805" t="s">
        <v>592</v>
      </c>
      <c r="J805" t="s">
        <v>742</v>
      </c>
      <c r="K805" t="s">
        <v>71</v>
      </c>
      <c r="L805" s="1">
        <v>43816</v>
      </c>
      <c r="N805" s="2" t="s">
        <v>2369</v>
      </c>
      <c r="O805" t="s">
        <v>216</v>
      </c>
      <c r="P805" t="s">
        <v>21</v>
      </c>
      <c r="Q805" t="s">
        <v>72</v>
      </c>
      <c r="R805">
        <v>6.4</v>
      </c>
      <c r="S805" t="s">
        <v>2953</v>
      </c>
    </row>
    <row r="806" spans="1:19" x14ac:dyDescent="0.3">
      <c r="A806" t="s">
        <v>1958</v>
      </c>
      <c r="B806" t="s">
        <v>212</v>
      </c>
      <c r="C806" t="s">
        <v>273</v>
      </c>
      <c r="D806" t="s">
        <v>24</v>
      </c>
      <c r="E806">
        <v>48</v>
      </c>
      <c r="F806" t="s">
        <v>2947</v>
      </c>
      <c r="G806" t="s">
        <v>2412</v>
      </c>
      <c r="H806" t="s">
        <v>2848</v>
      </c>
      <c r="I806" t="s">
        <v>394</v>
      </c>
      <c r="J806" t="s">
        <v>672</v>
      </c>
      <c r="K806" t="s">
        <v>35</v>
      </c>
      <c r="L806" s="1">
        <v>43596</v>
      </c>
      <c r="M806" s="2">
        <v>489440</v>
      </c>
      <c r="N806" s="2" t="s">
        <v>2948</v>
      </c>
      <c r="O806" t="s">
        <v>198</v>
      </c>
      <c r="P806" t="s">
        <v>90</v>
      </c>
      <c r="Q806" t="s">
        <v>244</v>
      </c>
      <c r="R806">
        <v>7</v>
      </c>
      <c r="S806" t="s">
        <v>2953</v>
      </c>
    </row>
    <row r="807" spans="1:19" x14ac:dyDescent="0.3">
      <c r="A807" t="s">
        <v>1960</v>
      </c>
      <c r="B807" t="s">
        <v>67</v>
      </c>
      <c r="C807" t="s">
        <v>141</v>
      </c>
      <c r="D807" t="s">
        <v>24</v>
      </c>
      <c r="E807">
        <v>45</v>
      </c>
      <c r="F807" t="s">
        <v>2946</v>
      </c>
      <c r="G807" t="s">
        <v>1957</v>
      </c>
      <c r="H807" t="s">
        <v>2849</v>
      </c>
      <c r="I807" t="s">
        <v>517</v>
      </c>
      <c r="J807" t="s">
        <v>751</v>
      </c>
      <c r="K807" t="s">
        <v>71</v>
      </c>
      <c r="L807" s="1">
        <v>44674</v>
      </c>
      <c r="M807" s="2">
        <v>778440</v>
      </c>
      <c r="N807" s="2" t="s">
        <v>2950</v>
      </c>
      <c r="O807" t="s">
        <v>111</v>
      </c>
      <c r="P807" t="s">
        <v>353</v>
      </c>
      <c r="Q807" t="s">
        <v>65</v>
      </c>
      <c r="R807">
        <v>4.0999999999999996</v>
      </c>
      <c r="S807" t="s">
        <v>2952</v>
      </c>
    </row>
    <row r="808" spans="1:19" x14ac:dyDescent="0.3">
      <c r="A808" t="s">
        <v>1963</v>
      </c>
      <c r="B808" t="s">
        <v>359</v>
      </c>
      <c r="C808" t="s">
        <v>68</v>
      </c>
      <c r="D808" t="s">
        <v>24</v>
      </c>
      <c r="E808">
        <v>58</v>
      </c>
      <c r="F808" t="s">
        <v>2947</v>
      </c>
      <c r="G808" t="s">
        <v>1959</v>
      </c>
      <c r="H808" t="s">
        <v>2850</v>
      </c>
      <c r="I808" t="s">
        <v>485</v>
      </c>
      <c r="J808" t="s">
        <v>185</v>
      </c>
      <c r="K808" t="s">
        <v>48</v>
      </c>
      <c r="L808" s="1">
        <v>44357</v>
      </c>
      <c r="M808" s="2">
        <v>177190</v>
      </c>
      <c r="N808" s="2" t="s">
        <v>2949</v>
      </c>
      <c r="O808" t="s">
        <v>216</v>
      </c>
      <c r="P808" t="s">
        <v>353</v>
      </c>
      <c r="Q808" t="s">
        <v>65</v>
      </c>
      <c r="R808">
        <v>4.9000000000000004</v>
      </c>
      <c r="S808" t="s">
        <v>2952</v>
      </c>
    </row>
    <row r="809" spans="1:19" x14ac:dyDescent="0.3">
      <c r="A809" t="s">
        <v>2357</v>
      </c>
      <c r="B809" t="s">
        <v>113</v>
      </c>
      <c r="C809" t="s">
        <v>31</v>
      </c>
      <c r="D809" t="s">
        <v>24</v>
      </c>
      <c r="E809">
        <v>27</v>
      </c>
      <c r="F809" t="s">
        <v>2945</v>
      </c>
      <c r="G809" t="s">
        <v>1961</v>
      </c>
      <c r="H809" t="s">
        <v>1962</v>
      </c>
      <c r="I809" t="s">
        <v>368</v>
      </c>
      <c r="J809" t="s">
        <v>801</v>
      </c>
      <c r="K809" t="s">
        <v>35</v>
      </c>
      <c r="L809" s="1">
        <v>42652</v>
      </c>
      <c r="M809" s="2">
        <v>213074</v>
      </c>
      <c r="N809" s="2" t="s">
        <v>2948</v>
      </c>
      <c r="O809" t="s">
        <v>216</v>
      </c>
      <c r="P809" t="s">
        <v>152</v>
      </c>
      <c r="Q809" t="s">
        <v>72</v>
      </c>
      <c r="R809">
        <v>9.6999999999999993</v>
      </c>
      <c r="S809" t="s">
        <v>2951</v>
      </c>
    </row>
    <row r="810" spans="1:19" x14ac:dyDescent="0.3">
      <c r="A810" t="s">
        <v>1966</v>
      </c>
      <c r="B810" t="s">
        <v>85</v>
      </c>
      <c r="C810" t="s">
        <v>249</v>
      </c>
      <c r="D810" t="s">
        <v>45</v>
      </c>
      <c r="E810">
        <v>34</v>
      </c>
      <c r="F810" t="s">
        <v>2946</v>
      </c>
      <c r="G810" t="s">
        <v>1964</v>
      </c>
      <c r="H810" t="s">
        <v>2851</v>
      </c>
      <c r="I810" t="s">
        <v>53</v>
      </c>
      <c r="J810" t="s">
        <v>1472</v>
      </c>
      <c r="K810" t="s">
        <v>28</v>
      </c>
      <c r="L810" s="1">
        <v>43182</v>
      </c>
      <c r="M810" s="2">
        <v>435626</v>
      </c>
      <c r="N810" s="2" t="s">
        <v>2948</v>
      </c>
      <c r="O810" t="s">
        <v>130</v>
      </c>
      <c r="P810" t="s">
        <v>90</v>
      </c>
      <c r="Q810" t="s">
        <v>72</v>
      </c>
      <c r="R810">
        <v>8.1</v>
      </c>
      <c r="S810" t="s">
        <v>2951</v>
      </c>
    </row>
    <row r="811" spans="1:19" x14ac:dyDescent="0.3">
      <c r="A811" t="s">
        <v>1968</v>
      </c>
      <c r="B811" t="s">
        <v>416</v>
      </c>
      <c r="C811" t="s">
        <v>264</v>
      </c>
      <c r="D811" t="s">
        <v>24</v>
      </c>
      <c r="E811">
        <v>22</v>
      </c>
      <c r="F811" t="s">
        <v>2945</v>
      </c>
      <c r="G811" t="s">
        <v>1965</v>
      </c>
      <c r="H811" t="s">
        <v>2852</v>
      </c>
      <c r="I811" t="s">
        <v>100</v>
      </c>
      <c r="J811" t="s">
        <v>274</v>
      </c>
      <c r="K811" t="s">
        <v>71</v>
      </c>
      <c r="L811" s="1">
        <v>43291</v>
      </c>
      <c r="M811" s="2">
        <v>198210</v>
      </c>
      <c r="N811" s="2" t="s">
        <v>2949</v>
      </c>
      <c r="O811" t="s">
        <v>111</v>
      </c>
      <c r="P811" t="s">
        <v>90</v>
      </c>
      <c r="Q811" t="s">
        <v>72</v>
      </c>
      <c r="R811">
        <v>7.8</v>
      </c>
      <c r="S811" t="s">
        <v>2953</v>
      </c>
    </row>
    <row r="812" spans="1:19" x14ac:dyDescent="0.3">
      <c r="A812" t="s">
        <v>1969</v>
      </c>
      <c r="B812" t="s">
        <v>359</v>
      </c>
      <c r="C812" t="s">
        <v>50</v>
      </c>
      <c r="D812" t="s">
        <v>45</v>
      </c>
      <c r="E812">
        <v>55</v>
      </c>
      <c r="F812" t="s">
        <v>2947</v>
      </c>
      <c r="G812" t="s">
        <v>1967</v>
      </c>
      <c r="H812" t="s">
        <v>2853</v>
      </c>
      <c r="I812" t="s">
        <v>209</v>
      </c>
      <c r="J812" t="s">
        <v>578</v>
      </c>
      <c r="K812" t="s">
        <v>28</v>
      </c>
      <c r="L812" s="1">
        <v>42600</v>
      </c>
      <c r="M812" s="2">
        <v>193532</v>
      </c>
      <c r="N812" s="2" t="s">
        <v>2949</v>
      </c>
      <c r="O812" t="s">
        <v>216</v>
      </c>
      <c r="P812" t="s">
        <v>353</v>
      </c>
      <c r="Q812" t="s">
        <v>79</v>
      </c>
      <c r="R812">
        <v>9.6999999999999993</v>
      </c>
      <c r="S812" t="s">
        <v>2951</v>
      </c>
    </row>
    <row r="813" spans="1:19" x14ac:dyDescent="0.3">
      <c r="A813" t="s">
        <v>1971</v>
      </c>
      <c r="B813" t="s">
        <v>310</v>
      </c>
      <c r="C813" t="s">
        <v>264</v>
      </c>
      <c r="D813" t="s">
        <v>24</v>
      </c>
      <c r="E813">
        <v>38</v>
      </c>
      <c r="F813" t="s">
        <v>2946</v>
      </c>
      <c r="G813" t="s">
        <v>2455</v>
      </c>
      <c r="H813" t="s">
        <v>2854</v>
      </c>
      <c r="I813" t="s">
        <v>368</v>
      </c>
      <c r="J813" t="s">
        <v>415</v>
      </c>
      <c r="K813" t="s">
        <v>28</v>
      </c>
      <c r="L813" s="1">
        <v>43666</v>
      </c>
      <c r="M813" s="2">
        <v>888524</v>
      </c>
      <c r="N813" s="2" t="s">
        <v>2950</v>
      </c>
      <c r="O813" t="s">
        <v>41</v>
      </c>
      <c r="P813" t="s">
        <v>152</v>
      </c>
      <c r="Q813" t="s">
        <v>79</v>
      </c>
      <c r="R813">
        <v>6.8</v>
      </c>
      <c r="S813" t="s">
        <v>2953</v>
      </c>
    </row>
    <row r="814" spans="1:19" x14ac:dyDescent="0.3">
      <c r="A814" t="s">
        <v>1973</v>
      </c>
      <c r="B814" t="s">
        <v>212</v>
      </c>
      <c r="C814" t="s">
        <v>68</v>
      </c>
      <c r="D814" t="s">
        <v>24</v>
      </c>
      <c r="E814">
        <v>45</v>
      </c>
      <c r="F814" t="s">
        <v>2946</v>
      </c>
      <c r="G814" t="s">
        <v>1970</v>
      </c>
      <c r="H814" t="s">
        <v>2855</v>
      </c>
      <c r="I814" t="s">
        <v>368</v>
      </c>
      <c r="J814" t="s">
        <v>215</v>
      </c>
      <c r="K814" t="s">
        <v>71</v>
      </c>
      <c r="L814" s="1">
        <v>44813</v>
      </c>
      <c r="M814" s="2">
        <v>444024</v>
      </c>
      <c r="N814" s="2" t="s">
        <v>2948</v>
      </c>
      <c r="O814" t="s">
        <v>111</v>
      </c>
      <c r="P814" t="s">
        <v>205</v>
      </c>
      <c r="Q814" t="s">
        <v>158</v>
      </c>
      <c r="R814">
        <v>3.7</v>
      </c>
      <c r="S814" t="s">
        <v>2952</v>
      </c>
    </row>
    <row r="815" spans="1:19" x14ac:dyDescent="0.3">
      <c r="A815" t="s">
        <v>2358</v>
      </c>
      <c r="B815" t="s">
        <v>340</v>
      </c>
      <c r="C815" t="s">
        <v>146</v>
      </c>
      <c r="D815" t="s">
        <v>24</v>
      </c>
      <c r="E815">
        <v>33</v>
      </c>
      <c r="F815" t="s">
        <v>2946</v>
      </c>
      <c r="G815" t="s">
        <v>1972</v>
      </c>
      <c r="H815" t="s">
        <v>2369</v>
      </c>
      <c r="I815" t="s">
        <v>53</v>
      </c>
      <c r="J815" t="s">
        <v>659</v>
      </c>
      <c r="K815" t="s">
        <v>48</v>
      </c>
      <c r="L815" s="1">
        <v>43747</v>
      </c>
      <c r="M815" s="2">
        <v>234355</v>
      </c>
      <c r="N815" s="2" t="s">
        <v>2948</v>
      </c>
      <c r="O815" t="s">
        <v>41</v>
      </c>
      <c r="P815" t="s">
        <v>205</v>
      </c>
      <c r="Q815" t="s">
        <v>65</v>
      </c>
      <c r="R815">
        <v>6.6</v>
      </c>
      <c r="S815" t="s">
        <v>2953</v>
      </c>
    </row>
    <row r="816" spans="1:19" x14ac:dyDescent="0.3">
      <c r="A816" t="s">
        <v>1978</v>
      </c>
      <c r="B816" t="s">
        <v>61</v>
      </c>
      <c r="C816" t="s">
        <v>108</v>
      </c>
      <c r="D816" t="s">
        <v>24</v>
      </c>
      <c r="E816">
        <v>25</v>
      </c>
      <c r="F816" t="s">
        <v>2945</v>
      </c>
      <c r="G816" t="s">
        <v>1974</v>
      </c>
      <c r="H816" t="s">
        <v>1975</v>
      </c>
      <c r="I816" t="s">
        <v>53</v>
      </c>
      <c r="J816" t="s">
        <v>1472</v>
      </c>
      <c r="K816" t="s">
        <v>71</v>
      </c>
      <c r="L816" s="1">
        <v>44015</v>
      </c>
      <c r="M816" s="2">
        <v>599846</v>
      </c>
      <c r="N816" s="2" t="s">
        <v>2950</v>
      </c>
      <c r="O816" t="s">
        <v>130</v>
      </c>
      <c r="P816" t="s">
        <v>152</v>
      </c>
      <c r="Q816" t="s">
        <v>158</v>
      </c>
      <c r="R816">
        <v>5.9</v>
      </c>
      <c r="S816" t="s">
        <v>2953</v>
      </c>
    </row>
    <row r="817" spans="1:19" x14ac:dyDescent="0.3">
      <c r="A817" t="s">
        <v>1979</v>
      </c>
      <c r="B817" t="s">
        <v>412</v>
      </c>
      <c r="C817" t="s">
        <v>362</v>
      </c>
      <c r="D817" t="s">
        <v>24</v>
      </c>
      <c r="E817">
        <v>44</v>
      </c>
      <c r="F817" t="s">
        <v>2946</v>
      </c>
      <c r="G817" t="s">
        <v>1976</v>
      </c>
      <c r="H817" t="s">
        <v>1977</v>
      </c>
      <c r="I817" t="s">
        <v>53</v>
      </c>
      <c r="J817" t="s">
        <v>779</v>
      </c>
      <c r="K817" t="s">
        <v>28</v>
      </c>
      <c r="L817" s="1">
        <v>44502</v>
      </c>
      <c r="M817" s="2">
        <v>263194</v>
      </c>
      <c r="N817" s="2" t="s">
        <v>2948</v>
      </c>
      <c r="O817" t="s">
        <v>253</v>
      </c>
      <c r="P817" t="s">
        <v>152</v>
      </c>
      <c r="Q817" t="s">
        <v>244</v>
      </c>
      <c r="R817">
        <v>4.5</v>
      </c>
      <c r="S817" t="s">
        <v>2952</v>
      </c>
    </row>
    <row r="818" spans="1:19" x14ac:dyDescent="0.3">
      <c r="A818" t="s">
        <v>1981</v>
      </c>
      <c r="B818" t="s">
        <v>187</v>
      </c>
      <c r="C818" t="s">
        <v>327</v>
      </c>
      <c r="D818" t="s">
        <v>24</v>
      </c>
      <c r="E818">
        <v>38</v>
      </c>
      <c r="F818" t="s">
        <v>2946</v>
      </c>
      <c r="G818" t="s">
        <v>2369</v>
      </c>
      <c r="H818" t="s">
        <v>2369</v>
      </c>
      <c r="I818" t="s">
        <v>209</v>
      </c>
      <c r="J818" t="s">
        <v>78</v>
      </c>
      <c r="K818" t="s">
        <v>28</v>
      </c>
      <c r="L818" s="1">
        <v>44860</v>
      </c>
      <c r="M818" s="2">
        <v>478423</v>
      </c>
      <c r="N818" s="2" t="s">
        <v>2948</v>
      </c>
      <c r="O818" t="s">
        <v>216</v>
      </c>
      <c r="P818" t="s">
        <v>152</v>
      </c>
      <c r="Q818" t="s">
        <v>72</v>
      </c>
      <c r="R818">
        <v>3.6</v>
      </c>
      <c r="S818" t="s">
        <v>2952</v>
      </c>
    </row>
    <row r="819" spans="1:19" x14ac:dyDescent="0.3">
      <c r="A819" t="s">
        <v>2359</v>
      </c>
      <c r="B819" t="s">
        <v>74</v>
      </c>
      <c r="C819" t="s">
        <v>146</v>
      </c>
      <c r="D819" t="s">
        <v>24</v>
      </c>
      <c r="E819">
        <v>32</v>
      </c>
      <c r="F819" t="s">
        <v>2946</v>
      </c>
      <c r="G819" t="s">
        <v>1980</v>
      </c>
      <c r="H819" t="s">
        <v>2856</v>
      </c>
      <c r="I819" t="s">
        <v>53</v>
      </c>
      <c r="J819" t="s">
        <v>866</v>
      </c>
      <c r="K819" t="s">
        <v>48</v>
      </c>
      <c r="L819" s="1">
        <v>42768</v>
      </c>
      <c r="M819" s="2">
        <v>665661</v>
      </c>
      <c r="N819" s="2" t="s">
        <v>2950</v>
      </c>
      <c r="O819" t="s">
        <v>253</v>
      </c>
      <c r="P819" t="s">
        <v>152</v>
      </c>
      <c r="Q819" t="s">
        <v>79</v>
      </c>
      <c r="R819">
        <v>9.3000000000000007</v>
      </c>
      <c r="S819" t="s">
        <v>2951</v>
      </c>
    </row>
    <row r="820" spans="1:19" x14ac:dyDescent="0.3">
      <c r="A820" t="s">
        <v>1983</v>
      </c>
      <c r="B820" t="s">
        <v>269</v>
      </c>
      <c r="C820" t="s">
        <v>93</v>
      </c>
      <c r="D820" t="s">
        <v>45</v>
      </c>
      <c r="E820">
        <v>37</v>
      </c>
      <c r="F820" t="s">
        <v>2946</v>
      </c>
      <c r="G820" t="s">
        <v>2413</v>
      </c>
      <c r="H820" t="s">
        <v>2857</v>
      </c>
      <c r="I820" t="s">
        <v>394</v>
      </c>
      <c r="J820" t="s">
        <v>395</v>
      </c>
      <c r="K820" t="s">
        <v>28</v>
      </c>
      <c r="L820" s="1">
        <v>42850</v>
      </c>
      <c r="M820" s="2">
        <v>446731</v>
      </c>
      <c r="N820" s="2" t="s">
        <v>2948</v>
      </c>
      <c r="O820" t="s">
        <v>130</v>
      </c>
      <c r="P820" t="s">
        <v>90</v>
      </c>
      <c r="Q820" t="s">
        <v>79</v>
      </c>
      <c r="R820">
        <v>9.1</v>
      </c>
      <c r="S820" t="s">
        <v>2951</v>
      </c>
    </row>
    <row r="821" spans="1:19" x14ac:dyDescent="0.3">
      <c r="A821" t="s">
        <v>1985</v>
      </c>
      <c r="B821" t="s">
        <v>207</v>
      </c>
      <c r="C821" t="s">
        <v>161</v>
      </c>
      <c r="D821" t="s">
        <v>24</v>
      </c>
      <c r="E821">
        <v>26</v>
      </c>
      <c r="F821" t="s">
        <v>2945</v>
      </c>
      <c r="G821" t="s">
        <v>1982</v>
      </c>
      <c r="H821" t="s">
        <v>2858</v>
      </c>
      <c r="I821" t="s">
        <v>394</v>
      </c>
      <c r="J821" t="s">
        <v>519</v>
      </c>
      <c r="K821" t="s">
        <v>71</v>
      </c>
      <c r="L821" s="1">
        <v>42439</v>
      </c>
      <c r="M821" s="2">
        <v>143379</v>
      </c>
      <c r="N821" s="2" t="s">
        <v>2949</v>
      </c>
      <c r="O821" t="s">
        <v>41</v>
      </c>
      <c r="P821" t="s">
        <v>152</v>
      </c>
      <c r="Q821" t="s">
        <v>72</v>
      </c>
      <c r="R821">
        <v>10.199999999999999</v>
      </c>
      <c r="S821" t="s">
        <v>2951</v>
      </c>
    </row>
    <row r="822" spans="1:19" x14ac:dyDescent="0.3">
      <c r="A822" t="s">
        <v>1986</v>
      </c>
      <c r="B822" t="s">
        <v>187</v>
      </c>
      <c r="C822" t="s">
        <v>176</v>
      </c>
      <c r="D822" t="s">
        <v>24</v>
      </c>
      <c r="E822">
        <v>27</v>
      </c>
      <c r="F822" t="s">
        <v>2945</v>
      </c>
      <c r="G822" t="s">
        <v>1984</v>
      </c>
      <c r="H822" t="s">
        <v>2859</v>
      </c>
      <c r="I822" t="s">
        <v>394</v>
      </c>
      <c r="J822" t="s">
        <v>395</v>
      </c>
      <c r="K822" t="s">
        <v>71</v>
      </c>
      <c r="L822" s="1">
        <v>43625</v>
      </c>
      <c r="M822" s="2">
        <v>135795</v>
      </c>
      <c r="N822" s="2" t="s">
        <v>2949</v>
      </c>
      <c r="O822" t="s">
        <v>216</v>
      </c>
      <c r="P822" t="s">
        <v>205</v>
      </c>
      <c r="Q822" t="s">
        <v>79</v>
      </c>
      <c r="R822">
        <v>6.9</v>
      </c>
      <c r="S822" t="s">
        <v>2953</v>
      </c>
    </row>
    <row r="823" spans="1:19" x14ac:dyDescent="0.3">
      <c r="A823" t="s">
        <v>1989</v>
      </c>
      <c r="B823" t="s">
        <v>67</v>
      </c>
      <c r="C823" t="s">
        <v>264</v>
      </c>
      <c r="D823" t="s">
        <v>45</v>
      </c>
      <c r="E823">
        <v>55</v>
      </c>
      <c r="F823" t="s">
        <v>2947</v>
      </c>
      <c r="G823" t="s">
        <v>2456</v>
      </c>
      <c r="H823" t="s">
        <v>2860</v>
      </c>
      <c r="I823" t="s">
        <v>368</v>
      </c>
      <c r="J823" t="s">
        <v>215</v>
      </c>
      <c r="K823" t="s">
        <v>48</v>
      </c>
      <c r="L823" s="1">
        <v>43028</v>
      </c>
      <c r="M823" s="2">
        <v>678401</v>
      </c>
      <c r="N823" s="2" t="s">
        <v>2950</v>
      </c>
      <c r="O823" t="s">
        <v>111</v>
      </c>
      <c r="P823" t="s">
        <v>21</v>
      </c>
      <c r="Q823" t="s">
        <v>244</v>
      </c>
      <c r="R823">
        <v>8.6</v>
      </c>
      <c r="S823" t="s">
        <v>2951</v>
      </c>
    </row>
    <row r="824" spans="1:19" x14ac:dyDescent="0.3">
      <c r="A824" t="s">
        <v>1990</v>
      </c>
      <c r="B824" t="s">
        <v>233</v>
      </c>
      <c r="C824" t="s">
        <v>44</v>
      </c>
      <c r="D824" t="s">
        <v>24</v>
      </c>
      <c r="E824">
        <v>49</v>
      </c>
      <c r="F824" t="s">
        <v>2947</v>
      </c>
      <c r="G824" t="s">
        <v>1987</v>
      </c>
      <c r="H824" t="s">
        <v>1988</v>
      </c>
      <c r="I824" t="s">
        <v>209</v>
      </c>
      <c r="J824" t="s">
        <v>616</v>
      </c>
      <c r="K824" t="s">
        <v>48</v>
      </c>
      <c r="L824" s="1">
        <v>42280</v>
      </c>
      <c r="M824" s="2">
        <v>424708</v>
      </c>
      <c r="N824" s="2" t="s">
        <v>2948</v>
      </c>
      <c r="O824" t="s">
        <v>41</v>
      </c>
      <c r="P824" t="s">
        <v>353</v>
      </c>
      <c r="Q824" t="s">
        <v>158</v>
      </c>
      <c r="R824">
        <v>10.6</v>
      </c>
      <c r="S824" t="s">
        <v>2951</v>
      </c>
    </row>
    <row r="825" spans="1:19" x14ac:dyDescent="0.3">
      <c r="A825" t="s">
        <v>1992</v>
      </c>
      <c r="B825" t="s">
        <v>555</v>
      </c>
      <c r="C825" t="s">
        <v>475</v>
      </c>
      <c r="D825" t="s">
        <v>45</v>
      </c>
      <c r="E825">
        <v>32</v>
      </c>
      <c r="F825" t="s">
        <v>2946</v>
      </c>
      <c r="G825" t="s">
        <v>2369</v>
      </c>
      <c r="H825" t="s">
        <v>2861</v>
      </c>
      <c r="I825" t="s">
        <v>592</v>
      </c>
      <c r="J825" t="s">
        <v>522</v>
      </c>
      <c r="K825" t="s">
        <v>35</v>
      </c>
      <c r="L825" s="1">
        <v>42028</v>
      </c>
      <c r="M825" s="2">
        <v>206569</v>
      </c>
      <c r="N825" s="2" t="s">
        <v>2948</v>
      </c>
      <c r="O825" t="s">
        <v>216</v>
      </c>
      <c r="P825" t="s">
        <v>152</v>
      </c>
      <c r="Q825" t="s">
        <v>244</v>
      </c>
      <c r="R825">
        <v>11.3</v>
      </c>
      <c r="S825" t="s">
        <v>2951</v>
      </c>
    </row>
    <row r="826" spans="1:19" x14ac:dyDescent="0.3">
      <c r="A826" t="s">
        <v>1996</v>
      </c>
      <c r="B826" t="s">
        <v>127</v>
      </c>
      <c r="C826" t="s">
        <v>176</v>
      </c>
      <c r="D826" t="s">
        <v>45</v>
      </c>
      <c r="E826">
        <v>23</v>
      </c>
      <c r="F826" t="s">
        <v>2945</v>
      </c>
      <c r="G826" t="s">
        <v>1991</v>
      </c>
      <c r="H826" t="s">
        <v>2862</v>
      </c>
      <c r="I826" t="s">
        <v>100</v>
      </c>
      <c r="J826" t="s">
        <v>64</v>
      </c>
      <c r="K826" t="s">
        <v>71</v>
      </c>
      <c r="L826" s="1">
        <v>44504</v>
      </c>
      <c r="M826" s="2">
        <v>766430</v>
      </c>
      <c r="N826" s="2" t="s">
        <v>2950</v>
      </c>
      <c r="O826" t="s">
        <v>130</v>
      </c>
      <c r="P826" t="s">
        <v>90</v>
      </c>
      <c r="Q826" t="s">
        <v>65</v>
      </c>
      <c r="R826">
        <v>5.0999999999999996</v>
      </c>
      <c r="S826" t="s">
        <v>2953</v>
      </c>
    </row>
    <row r="827" spans="1:19" x14ac:dyDescent="0.3">
      <c r="A827" t="s">
        <v>1999</v>
      </c>
      <c r="B827" t="s">
        <v>187</v>
      </c>
      <c r="C827" t="s">
        <v>50</v>
      </c>
      <c r="D827" t="s">
        <v>45</v>
      </c>
      <c r="F827" t="s">
        <v>2369</v>
      </c>
      <c r="G827" t="s">
        <v>1993</v>
      </c>
      <c r="H827" t="s">
        <v>2863</v>
      </c>
      <c r="I827" t="s">
        <v>517</v>
      </c>
      <c r="J827" t="s">
        <v>433</v>
      </c>
      <c r="K827" t="s">
        <v>28</v>
      </c>
      <c r="M827" s="2">
        <v>890295</v>
      </c>
      <c r="N827" s="2" t="s">
        <v>2950</v>
      </c>
      <c r="O827" t="s">
        <v>130</v>
      </c>
      <c r="P827" t="s">
        <v>152</v>
      </c>
      <c r="Q827" t="s">
        <v>79</v>
      </c>
      <c r="R827">
        <v>7.9</v>
      </c>
      <c r="S827" t="s">
        <v>2953</v>
      </c>
    </row>
    <row r="828" spans="1:19" x14ac:dyDescent="0.3">
      <c r="A828" t="s">
        <v>2001</v>
      </c>
      <c r="B828" t="s">
        <v>412</v>
      </c>
      <c r="C828" t="s">
        <v>86</v>
      </c>
      <c r="D828" t="s">
        <v>45</v>
      </c>
      <c r="F828" t="s">
        <v>2369</v>
      </c>
      <c r="G828" t="s">
        <v>810</v>
      </c>
      <c r="H828" t="s">
        <v>1995</v>
      </c>
      <c r="I828" t="s">
        <v>100</v>
      </c>
      <c r="K828" t="s">
        <v>48</v>
      </c>
      <c r="L828" s="1">
        <v>43702</v>
      </c>
      <c r="M828" s="2">
        <v>645048</v>
      </c>
      <c r="N828" s="2" t="s">
        <v>2950</v>
      </c>
      <c r="O828" t="s">
        <v>216</v>
      </c>
      <c r="P828" t="s">
        <v>21</v>
      </c>
      <c r="Q828" t="s">
        <v>244</v>
      </c>
      <c r="R828">
        <v>6.7</v>
      </c>
      <c r="S828" t="s">
        <v>2953</v>
      </c>
    </row>
    <row r="829" spans="1:19" x14ac:dyDescent="0.3">
      <c r="A829" t="s">
        <v>2002</v>
      </c>
      <c r="B829" t="s">
        <v>98</v>
      </c>
      <c r="C829" t="s">
        <v>362</v>
      </c>
      <c r="D829" t="s">
        <v>24</v>
      </c>
      <c r="E829">
        <v>35</v>
      </c>
      <c r="F829" t="s">
        <v>2946</v>
      </c>
      <c r="G829" t="s">
        <v>1997</v>
      </c>
      <c r="H829" t="s">
        <v>1998</v>
      </c>
      <c r="I829" t="s">
        <v>271</v>
      </c>
      <c r="J829" t="s">
        <v>489</v>
      </c>
      <c r="K829" t="s">
        <v>48</v>
      </c>
      <c r="L829" s="1">
        <v>44734</v>
      </c>
      <c r="M829" s="2">
        <v>637684</v>
      </c>
      <c r="N829" s="2" t="s">
        <v>2950</v>
      </c>
      <c r="O829" t="s">
        <v>216</v>
      </c>
      <c r="P829" t="s">
        <v>205</v>
      </c>
      <c r="Q829" t="s">
        <v>65</v>
      </c>
      <c r="R829">
        <v>3.9</v>
      </c>
      <c r="S829" t="s">
        <v>2952</v>
      </c>
    </row>
    <row r="830" spans="1:19" x14ac:dyDescent="0.3">
      <c r="A830" t="s">
        <v>2004</v>
      </c>
      <c r="B830" t="s">
        <v>137</v>
      </c>
      <c r="C830" t="s">
        <v>57</v>
      </c>
      <c r="D830" t="s">
        <v>24</v>
      </c>
      <c r="E830">
        <v>33</v>
      </c>
      <c r="F830" t="s">
        <v>2946</v>
      </c>
      <c r="G830" t="s">
        <v>2000</v>
      </c>
      <c r="H830" t="s">
        <v>2864</v>
      </c>
      <c r="I830" t="s">
        <v>271</v>
      </c>
      <c r="J830" t="s">
        <v>524</v>
      </c>
      <c r="K830" t="s">
        <v>28</v>
      </c>
      <c r="L830" s="1">
        <v>44374</v>
      </c>
      <c r="M830" s="2">
        <v>701984</v>
      </c>
      <c r="N830" s="2" t="s">
        <v>2950</v>
      </c>
      <c r="O830" t="s">
        <v>41</v>
      </c>
      <c r="P830" t="s">
        <v>21</v>
      </c>
      <c r="Q830" t="s">
        <v>158</v>
      </c>
      <c r="R830">
        <v>4.9000000000000004</v>
      </c>
      <c r="S830" t="s">
        <v>2952</v>
      </c>
    </row>
    <row r="831" spans="1:19" x14ac:dyDescent="0.3">
      <c r="A831" t="s">
        <v>2005</v>
      </c>
      <c r="B831" t="s">
        <v>74</v>
      </c>
      <c r="C831" t="s">
        <v>408</v>
      </c>
      <c r="D831" t="s">
        <v>24</v>
      </c>
      <c r="E831">
        <v>32</v>
      </c>
      <c r="F831" t="s">
        <v>2946</v>
      </c>
      <c r="G831" t="s">
        <v>467</v>
      </c>
      <c r="H831" t="s">
        <v>2369</v>
      </c>
      <c r="I831" t="s">
        <v>394</v>
      </c>
      <c r="J831" t="s">
        <v>395</v>
      </c>
      <c r="K831" t="s">
        <v>71</v>
      </c>
      <c r="L831" s="1">
        <v>43143</v>
      </c>
      <c r="M831" s="2">
        <v>864599</v>
      </c>
      <c r="N831" s="2" t="s">
        <v>2950</v>
      </c>
      <c r="O831" t="s">
        <v>198</v>
      </c>
      <c r="P831" t="s">
        <v>353</v>
      </c>
      <c r="Q831" t="s">
        <v>244</v>
      </c>
      <c r="R831">
        <v>8.3000000000000007</v>
      </c>
      <c r="S831" t="s">
        <v>2951</v>
      </c>
    </row>
    <row r="832" spans="1:19" x14ac:dyDescent="0.3">
      <c r="A832" t="s">
        <v>2008</v>
      </c>
      <c r="B832" t="s">
        <v>124</v>
      </c>
      <c r="C832" t="s">
        <v>183</v>
      </c>
      <c r="D832" t="s">
        <v>24</v>
      </c>
      <c r="E832">
        <v>53</v>
      </c>
      <c r="F832" t="s">
        <v>2947</v>
      </c>
      <c r="G832" t="s">
        <v>2003</v>
      </c>
      <c r="H832" t="s">
        <v>2369</v>
      </c>
      <c r="I832" t="s">
        <v>235</v>
      </c>
      <c r="J832" t="s">
        <v>528</v>
      </c>
      <c r="K832" t="s">
        <v>48</v>
      </c>
      <c r="L832" s="1">
        <v>43724</v>
      </c>
      <c r="M832" s="2">
        <v>816165</v>
      </c>
      <c r="N832" s="2" t="s">
        <v>2950</v>
      </c>
      <c r="O832" t="s">
        <v>130</v>
      </c>
      <c r="P832" t="s">
        <v>21</v>
      </c>
      <c r="Q832" t="s">
        <v>72</v>
      </c>
      <c r="R832">
        <v>6.7</v>
      </c>
      <c r="S832" t="s">
        <v>2953</v>
      </c>
    </row>
    <row r="833" spans="1:19" x14ac:dyDescent="0.3">
      <c r="A833" t="s">
        <v>2011</v>
      </c>
      <c r="B833" t="s">
        <v>56</v>
      </c>
      <c r="C833" t="s">
        <v>93</v>
      </c>
      <c r="D833" t="s">
        <v>45</v>
      </c>
      <c r="E833">
        <v>54</v>
      </c>
      <c r="F833" t="s">
        <v>2947</v>
      </c>
      <c r="G833" t="s">
        <v>2457</v>
      </c>
      <c r="H833" t="s">
        <v>2369</v>
      </c>
      <c r="I833" t="s">
        <v>235</v>
      </c>
      <c r="J833" t="s">
        <v>338</v>
      </c>
      <c r="K833" t="s">
        <v>35</v>
      </c>
      <c r="L833" s="1">
        <v>42071</v>
      </c>
      <c r="M833" s="2">
        <v>641029</v>
      </c>
      <c r="N833" s="2" t="s">
        <v>2950</v>
      </c>
      <c r="O833" t="s">
        <v>130</v>
      </c>
      <c r="P833" t="s">
        <v>353</v>
      </c>
      <c r="Q833" t="s">
        <v>244</v>
      </c>
      <c r="R833">
        <v>11.2</v>
      </c>
      <c r="S833" t="s">
        <v>2951</v>
      </c>
    </row>
    <row r="834" spans="1:19" x14ac:dyDescent="0.3">
      <c r="A834" t="s">
        <v>2013</v>
      </c>
      <c r="B834" t="s">
        <v>385</v>
      </c>
      <c r="C834" t="s">
        <v>75</v>
      </c>
      <c r="D834" t="s">
        <v>45</v>
      </c>
      <c r="E834">
        <v>52</v>
      </c>
      <c r="F834" t="s">
        <v>2947</v>
      </c>
      <c r="G834" t="s">
        <v>2006</v>
      </c>
      <c r="H834" t="s">
        <v>2007</v>
      </c>
      <c r="I834" t="s">
        <v>271</v>
      </c>
      <c r="J834" t="s">
        <v>700</v>
      </c>
      <c r="K834" t="s">
        <v>28</v>
      </c>
      <c r="M834" s="2">
        <v>681822</v>
      </c>
      <c r="N834" s="2" t="s">
        <v>2950</v>
      </c>
      <c r="O834" t="s">
        <v>111</v>
      </c>
      <c r="P834" t="s">
        <v>353</v>
      </c>
      <c r="Q834" t="s">
        <v>244</v>
      </c>
      <c r="R834">
        <v>4.5999999999999996</v>
      </c>
      <c r="S834" t="s">
        <v>2952</v>
      </c>
    </row>
    <row r="835" spans="1:19" x14ac:dyDescent="0.3">
      <c r="A835" t="s">
        <v>2016</v>
      </c>
      <c r="B835" t="s">
        <v>377</v>
      </c>
      <c r="C835" t="s">
        <v>336</v>
      </c>
      <c r="D835" t="s">
        <v>24</v>
      </c>
      <c r="E835">
        <v>30</v>
      </c>
      <c r="F835" t="s">
        <v>2945</v>
      </c>
      <c r="G835" t="s">
        <v>2009</v>
      </c>
      <c r="H835" t="s">
        <v>2010</v>
      </c>
      <c r="I835" t="s">
        <v>485</v>
      </c>
      <c r="J835" t="s">
        <v>613</v>
      </c>
      <c r="K835" t="s">
        <v>35</v>
      </c>
      <c r="L835" s="1">
        <v>44841</v>
      </c>
      <c r="M835" s="2">
        <v>566804</v>
      </c>
      <c r="N835" s="2" t="s">
        <v>2950</v>
      </c>
      <c r="O835" t="s">
        <v>253</v>
      </c>
      <c r="P835" t="s">
        <v>353</v>
      </c>
      <c r="Q835" t="s">
        <v>158</v>
      </c>
      <c r="R835">
        <v>3.6</v>
      </c>
      <c r="S835" t="s">
        <v>2952</v>
      </c>
    </row>
    <row r="836" spans="1:19" x14ac:dyDescent="0.3">
      <c r="A836" t="s">
        <v>2018</v>
      </c>
      <c r="B836" t="s">
        <v>175</v>
      </c>
      <c r="C836" t="s">
        <v>120</v>
      </c>
      <c r="D836" t="s">
        <v>45</v>
      </c>
      <c r="E836">
        <v>51</v>
      </c>
      <c r="F836" t="s">
        <v>2947</v>
      </c>
      <c r="G836" t="s">
        <v>2012</v>
      </c>
      <c r="H836" t="s">
        <v>2369</v>
      </c>
      <c r="I836" t="s">
        <v>53</v>
      </c>
      <c r="J836" t="s">
        <v>1309</v>
      </c>
      <c r="K836" t="s">
        <v>48</v>
      </c>
      <c r="L836" s="1">
        <v>42351</v>
      </c>
      <c r="M836" s="2">
        <v>756541</v>
      </c>
      <c r="N836" s="2" t="s">
        <v>2950</v>
      </c>
      <c r="O836" t="s">
        <v>130</v>
      </c>
      <c r="P836" t="s">
        <v>21</v>
      </c>
      <c r="Q836" t="s">
        <v>72</v>
      </c>
      <c r="R836">
        <v>10.4</v>
      </c>
      <c r="S836" t="s">
        <v>2951</v>
      </c>
    </row>
    <row r="837" spans="1:19" x14ac:dyDescent="0.3">
      <c r="A837" t="s">
        <v>2020</v>
      </c>
      <c r="B837" t="s">
        <v>281</v>
      </c>
      <c r="C837" t="s">
        <v>133</v>
      </c>
      <c r="D837" t="s">
        <v>45</v>
      </c>
      <c r="E837">
        <v>22</v>
      </c>
      <c r="F837" t="s">
        <v>2945</v>
      </c>
      <c r="G837" t="s">
        <v>2014</v>
      </c>
      <c r="H837" t="s">
        <v>2015</v>
      </c>
      <c r="I837" t="s">
        <v>53</v>
      </c>
      <c r="J837" t="s">
        <v>1309</v>
      </c>
      <c r="K837" t="s">
        <v>35</v>
      </c>
      <c r="L837" s="1">
        <v>43727</v>
      </c>
      <c r="M837" s="2">
        <v>558241</v>
      </c>
      <c r="N837" s="2" t="s">
        <v>2950</v>
      </c>
      <c r="O837" t="s">
        <v>198</v>
      </c>
      <c r="P837" t="s">
        <v>152</v>
      </c>
      <c r="Q837" t="s">
        <v>244</v>
      </c>
      <c r="R837">
        <v>6.7</v>
      </c>
      <c r="S837" t="s">
        <v>2953</v>
      </c>
    </row>
    <row r="838" spans="1:19" x14ac:dyDescent="0.3">
      <c r="A838" t="s">
        <v>2022</v>
      </c>
      <c r="B838" t="s">
        <v>85</v>
      </c>
      <c r="C838" t="s">
        <v>213</v>
      </c>
      <c r="D838" t="s">
        <v>45</v>
      </c>
      <c r="E838">
        <v>22</v>
      </c>
      <c r="F838" t="s">
        <v>2945</v>
      </c>
      <c r="G838" t="s">
        <v>2017</v>
      </c>
      <c r="H838" t="s">
        <v>2865</v>
      </c>
      <c r="I838" t="s">
        <v>368</v>
      </c>
      <c r="J838" t="s">
        <v>125</v>
      </c>
      <c r="K838" t="s">
        <v>28</v>
      </c>
      <c r="L838" s="1">
        <v>42577</v>
      </c>
      <c r="M838" s="2">
        <v>792126</v>
      </c>
      <c r="N838" s="2" t="s">
        <v>2950</v>
      </c>
      <c r="O838" t="s">
        <v>41</v>
      </c>
      <c r="P838" t="s">
        <v>205</v>
      </c>
      <c r="Q838" t="s">
        <v>79</v>
      </c>
      <c r="R838">
        <v>9.8000000000000007</v>
      </c>
      <c r="S838" t="s">
        <v>2951</v>
      </c>
    </row>
    <row r="839" spans="1:19" x14ac:dyDescent="0.3">
      <c r="A839" t="s">
        <v>2023</v>
      </c>
      <c r="B839" t="s">
        <v>281</v>
      </c>
      <c r="C839" t="s">
        <v>146</v>
      </c>
      <c r="D839" t="s">
        <v>45</v>
      </c>
      <c r="E839">
        <v>54</v>
      </c>
      <c r="F839" t="s">
        <v>2947</v>
      </c>
      <c r="G839" t="s">
        <v>2019</v>
      </c>
      <c r="H839" t="s">
        <v>2866</v>
      </c>
      <c r="I839" t="s">
        <v>271</v>
      </c>
      <c r="J839" t="s">
        <v>70</v>
      </c>
      <c r="K839" t="s">
        <v>71</v>
      </c>
      <c r="L839" s="1">
        <v>42069</v>
      </c>
      <c r="M839" s="2">
        <v>203176</v>
      </c>
      <c r="N839" s="2" t="s">
        <v>2948</v>
      </c>
      <c r="O839" t="s">
        <v>130</v>
      </c>
      <c r="P839" t="s">
        <v>152</v>
      </c>
      <c r="Q839" t="s">
        <v>158</v>
      </c>
      <c r="R839">
        <v>11.2</v>
      </c>
      <c r="S839" t="s">
        <v>2951</v>
      </c>
    </row>
    <row r="840" spans="1:19" x14ac:dyDescent="0.3">
      <c r="A840" t="s">
        <v>2024</v>
      </c>
      <c r="B840" t="s">
        <v>212</v>
      </c>
      <c r="C840" t="s">
        <v>475</v>
      </c>
      <c r="D840" t="s">
        <v>24</v>
      </c>
      <c r="E840">
        <v>29</v>
      </c>
      <c r="F840" t="s">
        <v>2945</v>
      </c>
      <c r="G840" t="s">
        <v>2021</v>
      </c>
      <c r="H840" t="s">
        <v>2867</v>
      </c>
      <c r="I840" t="s">
        <v>394</v>
      </c>
      <c r="K840" t="s">
        <v>71</v>
      </c>
      <c r="L840" s="1">
        <v>43162</v>
      </c>
      <c r="M840" s="2">
        <v>633015</v>
      </c>
      <c r="N840" s="2" t="s">
        <v>2950</v>
      </c>
      <c r="O840" t="s">
        <v>111</v>
      </c>
      <c r="P840" t="s">
        <v>21</v>
      </c>
      <c r="Q840" t="s">
        <v>79</v>
      </c>
      <c r="R840">
        <v>8.1999999999999993</v>
      </c>
      <c r="S840" t="s">
        <v>2951</v>
      </c>
    </row>
    <row r="841" spans="1:19" x14ac:dyDescent="0.3">
      <c r="A841" t="s">
        <v>2027</v>
      </c>
      <c r="B841" t="s">
        <v>97</v>
      </c>
      <c r="C841" t="s">
        <v>141</v>
      </c>
      <c r="D841" t="s">
        <v>24</v>
      </c>
      <c r="E841">
        <v>43</v>
      </c>
      <c r="F841" t="s">
        <v>2946</v>
      </c>
      <c r="G841" t="s">
        <v>2414</v>
      </c>
      <c r="H841" t="s">
        <v>2868</v>
      </c>
      <c r="I841" t="s">
        <v>271</v>
      </c>
      <c r="J841" t="s">
        <v>785</v>
      </c>
      <c r="K841" t="s">
        <v>28</v>
      </c>
      <c r="L841" s="1">
        <v>42510</v>
      </c>
      <c r="M841" s="2">
        <v>156587</v>
      </c>
      <c r="N841" s="2" t="s">
        <v>2949</v>
      </c>
      <c r="O841" t="s">
        <v>111</v>
      </c>
      <c r="P841" t="s">
        <v>152</v>
      </c>
      <c r="Q841" t="s">
        <v>65</v>
      </c>
      <c r="R841">
        <v>10</v>
      </c>
      <c r="S841" t="s">
        <v>2951</v>
      </c>
    </row>
    <row r="842" spans="1:19" x14ac:dyDescent="0.3">
      <c r="A842" t="s">
        <v>2029</v>
      </c>
      <c r="B842" t="s">
        <v>212</v>
      </c>
      <c r="C842" t="s">
        <v>23</v>
      </c>
      <c r="D842" t="s">
        <v>24</v>
      </c>
      <c r="E842">
        <v>27</v>
      </c>
      <c r="F842" t="s">
        <v>2945</v>
      </c>
      <c r="G842" t="s">
        <v>1405</v>
      </c>
      <c r="H842" t="s">
        <v>2869</v>
      </c>
      <c r="I842" t="s">
        <v>394</v>
      </c>
      <c r="J842" t="s">
        <v>332</v>
      </c>
      <c r="K842" t="s">
        <v>48</v>
      </c>
      <c r="L842" s="1">
        <v>42585</v>
      </c>
      <c r="M842" s="2">
        <v>513153</v>
      </c>
      <c r="N842" s="2" t="s">
        <v>2950</v>
      </c>
      <c r="O842" t="s">
        <v>41</v>
      </c>
      <c r="P842" t="s">
        <v>21</v>
      </c>
      <c r="Q842" t="s">
        <v>244</v>
      </c>
      <c r="R842">
        <v>9.8000000000000007</v>
      </c>
      <c r="S842" t="s">
        <v>2951</v>
      </c>
    </row>
    <row r="843" spans="1:19" x14ac:dyDescent="0.3">
      <c r="A843" t="s">
        <v>2031</v>
      </c>
      <c r="B843" t="s">
        <v>187</v>
      </c>
      <c r="C843" t="s">
        <v>31</v>
      </c>
      <c r="D843" t="s">
        <v>24</v>
      </c>
      <c r="E843">
        <v>50</v>
      </c>
      <c r="F843" t="s">
        <v>2947</v>
      </c>
      <c r="G843" t="s">
        <v>2025</v>
      </c>
      <c r="H843" t="s">
        <v>2026</v>
      </c>
      <c r="I843" t="s">
        <v>53</v>
      </c>
      <c r="J843" t="s">
        <v>316</v>
      </c>
      <c r="K843" t="s">
        <v>28</v>
      </c>
      <c r="L843" s="1">
        <v>44874</v>
      </c>
      <c r="M843" s="2">
        <v>741076</v>
      </c>
      <c r="N843" s="2" t="s">
        <v>2950</v>
      </c>
      <c r="O843" t="s">
        <v>130</v>
      </c>
      <c r="P843" t="s">
        <v>90</v>
      </c>
      <c r="Q843" t="s">
        <v>79</v>
      </c>
      <c r="R843">
        <v>3.7</v>
      </c>
      <c r="S843" t="s">
        <v>2952</v>
      </c>
    </row>
    <row r="844" spans="1:19" x14ac:dyDescent="0.3">
      <c r="A844" t="s">
        <v>2034</v>
      </c>
      <c r="B844" t="s">
        <v>119</v>
      </c>
      <c r="C844" t="s">
        <v>516</v>
      </c>
      <c r="D844" t="s">
        <v>45</v>
      </c>
      <c r="E844">
        <v>28</v>
      </c>
      <c r="F844" t="s">
        <v>2945</v>
      </c>
      <c r="G844" t="s">
        <v>2028</v>
      </c>
      <c r="H844" t="s">
        <v>2369</v>
      </c>
      <c r="I844" t="s">
        <v>394</v>
      </c>
      <c r="J844" t="s">
        <v>519</v>
      </c>
      <c r="K844" t="s">
        <v>48</v>
      </c>
      <c r="L844" s="1">
        <v>43560</v>
      </c>
      <c r="M844" s="2">
        <v>101703</v>
      </c>
      <c r="N844" s="2" t="s">
        <v>2949</v>
      </c>
      <c r="O844" t="s">
        <v>216</v>
      </c>
      <c r="P844" t="s">
        <v>205</v>
      </c>
      <c r="Q844" t="s">
        <v>158</v>
      </c>
      <c r="R844">
        <v>7.1</v>
      </c>
      <c r="S844" t="s">
        <v>2953</v>
      </c>
    </row>
    <row r="845" spans="1:19" x14ac:dyDescent="0.3">
      <c r="A845" t="s">
        <v>2036</v>
      </c>
      <c r="B845" t="s">
        <v>30</v>
      </c>
      <c r="C845" t="s">
        <v>133</v>
      </c>
      <c r="D845" t="s">
        <v>24</v>
      </c>
      <c r="E845">
        <v>54</v>
      </c>
      <c r="F845" t="s">
        <v>2947</v>
      </c>
      <c r="G845" t="s">
        <v>2030</v>
      </c>
      <c r="H845" t="s">
        <v>2870</v>
      </c>
      <c r="I845" t="s">
        <v>209</v>
      </c>
      <c r="J845" t="s">
        <v>578</v>
      </c>
      <c r="K845" t="s">
        <v>48</v>
      </c>
      <c r="L845" s="1">
        <v>44765</v>
      </c>
      <c r="M845" s="2">
        <v>745448</v>
      </c>
      <c r="N845" s="2" t="s">
        <v>2950</v>
      </c>
      <c r="O845" t="s">
        <v>41</v>
      </c>
      <c r="P845" t="s">
        <v>152</v>
      </c>
      <c r="Q845" t="s">
        <v>158</v>
      </c>
      <c r="R845">
        <v>3.8</v>
      </c>
      <c r="S845" t="s">
        <v>2952</v>
      </c>
    </row>
    <row r="846" spans="1:19" x14ac:dyDescent="0.3">
      <c r="A846" t="s">
        <v>2039</v>
      </c>
      <c r="B846" t="s">
        <v>233</v>
      </c>
      <c r="C846" t="s">
        <v>133</v>
      </c>
      <c r="D846" t="s">
        <v>24</v>
      </c>
      <c r="E846">
        <v>23</v>
      </c>
      <c r="F846" t="s">
        <v>2945</v>
      </c>
      <c r="G846" t="s">
        <v>2032</v>
      </c>
      <c r="H846" t="s">
        <v>2033</v>
      </c>
      <c r="I846" t="s">
        <v>100</v>
      </c>
      <c r="J846" t="s">
        <v>603</v>
      </c>
      <c r="K846" t="s">
        <v>48</v>
      </c>
      <c r="L846" s="1">
        <v>44801</v>
      </c>
      <c r="M846" s="2">
        <v>373454</v>
      </c>
      <c r="N846" s="2" t="s">
        <v>2948</v>
      </c>
      <c r="O846" t="s">
        <v>130</v>
      </c>
      <c r="P846" t="s">
        <v>21</v>
      </c>
      <c r="Q846" t="s">
        <v>244</v>
      </c>
      <c r="R846">
        <v>3.7</v>
      </c>
      <c r="S846" t="s">
        <v>2952</v>
      </c>
    </row>
    <row r="847" spans="1:19" x14ac:dyDescent="0.3">
      <c r="A847" t="s">
        <v>2041</v>
      </c>
      <c r="B847" t="s">
        <v>148</v>
      </c>
      <c r="C847" t="s">
        <v>237</v>
      </c>
      <c r="D847" t="s">
        <v>45</v>
      </c>
      <c r="E847">
        <v>52</v>
      </c>
      <c r="F847" t="s">
        <v>2947</v>
      </c>
      <c r="G847" t="s">
        <v>2035</v>
      </c>
      <c r="H847" t="s">
        <v>2871</v>
      </c>
      <c r="I847" t="s">
        <v>100</v>
      </c>
      <c r="J847" t="s">
        <v>357</v>
      </c>
      <c r="K847" t="s">
        <v>71</v>
      </c>
      <c r="L847" s="1">
        <v>43725</v>
      </c>
      <c r="M847" s="2">
        <v>594188</v>
      </c>
      <c r="N847" s="2" t="s">
        <v>2950</v>
      </c>
      <c r="O847" t="s">
        <v>111</v>
      </c>
      <c r="P847" t="s">
        <v>205</v>
      </c>
      <c r="Q847" t="s">
        <v>244</v>
      </c>
      <c r="R847">
        <v>6.7</v>
      </c>
      <c r="S847" t="s">
        <v>2953</v>
      </c>
    </row>
    <row r="848" spans="1:19" x14ac:dyDescent="0.3">
      <c r="A848" t="s">
        <v>2042</v>
      </c>
      <c r="B848" t="s">
        <v>348</v>
      </c>
      <c r="C848" t="s">
        <v>57</v>
      </c>
      <c r="D848" t="s">
        <v>45</v>
      </c>
      <c r="E848">
        <v>23</v>
      </c>
      <c r="F848" t="s">
        <v>2945</v>
      </c>
      <c r="G848" t="s">
        <v>2037</v>
      </c>
      <c r="H848" t="s">
        <v>2038</v>
      </c>
      <c r="I848" t="s">
        <v>485</v>
      </c>
      <c r="J848" t="s">
        <v>459</v>
      </c>
      <c r="K848" t="s">
        <v>35</v>
      </c>
      <c r="L848" s="1">
        <v>43023</v>
      </c>
      <c r="M848" s="2">
        <v>196810</v>
      </c>
      <c r="N848" s="2" t="s">
        <v>2949</v>
      </c>
      <c r="O848" t="s">
        <v>111</v>
      </c>
      <c r="P848" t="s">
        <v>152</v>
      </c>
      <c r="Q848" t="s">
        <v>65</v>
      </c>
      <c r="R848">
        <v>8.6</v>
      </c>
      <c r="S848" t="s">
        <v>2951</v>
      </c>
    </row>
    <row r="849" spans="1:19" x14ac:dyDescent="0.3">
      <c r="A849" t="s">
        <v>2044</v>
      </c>
      <c r="B849" t="s">
        <v>233</v>
      </c>
      <c r="C849" t="s">
        <v>183</v>
      </c>
      <c r="D849" t="s">
        <v>45</v>
      </c>
      <c r="E849">
        <v>25</v>
      </c>
      <c r="F849" t="s">
        <v>2945</v>
      </c>
      <c r="G849" t="s">
        <v>2458</v>
      </c>
      <c r="H849" t="s">
        <v>2040</v>
      </c>
      <c r="I849" t="s">
        <v>592</v>
      </c>
      <c r="K849" t="s">
        <v>28</v>
      </c>
      <c r="L849" s="1">
        <v>42080</v>
      </c>
      <c r="M849" s="2">
        <v>802710</v>
      </c>
      <c r="N849" s="2" t="s">
        <v>2950</v>
      </c>
      <c r="O849" t="s">
        <v>216</v>
      </c>
      <c r="P849" t="s">
        <v>152</v>
      </c>
      <c r="Q849" t="s">
        <v>244</v>
      </c>
      <c r="R849">
        <v>11.2</v>
      </c>
      <c r="S849" t="s">
        <v>2951</v>
      </c>
    </row>
    <row r="850" spans="1:19" x14ac:dyDescent="0.3">
      <c r="A850" t="s">
        <v>2047</v>
      </c>
      <c r="B850" t="s">
        <v>340</v>
      </c>
      <c r="C850" t="s">
        <v>336</v>
      </c>
      <c r="D850" t="s">
        <v>24</v>
      </c>
      <c r="E850">
        <v>32</v>
      </c>
      <c r="F850" t="s">
        <v>2946</v>
      </c>
      <c r="G850" t="s">
        <v>2369</v>
      </c>
      <c r="H850" t="s">
        <v>2872</v>
      </c>
      <c r="I850" t="s">
        <v>394</v>
      </c>
      <c r="J850" t="s">
        <v>231</v>
      </c>
      <c r="K850" t="s">
        <v>28</v>
      </c>
      <c r="L850" s="1">
        <v>43382</v>
      </c>
      <c r="M850" s="2">
        <v>92359</v>
      </c>
      <c r="N850" s="2" t="s">
        <v>2949</v>
      </c>
      <c r="O850" t="s">
        <v>111</v>
      </c>
      <c r="P850" t="s">
        <v>353</v>
      </c>
      <c r="Q850" t="s">
        <v>79</v>
      </c>
      <c r="R850">
        <v>7.6</v>
      </c>
      <c r="S850" t="s">
        <v>2953</v>
      </c>
    </row>
    <row r="851" spans="1:19" x14ac:dyDescent="0.3">
      <c r="A851" t="s">
        <v>2048</v>
      </c>
      <c r="B851" t="s">
        <v>310</v>
      </c>
      <c r="C851" t="s">
        <v>155</v>
      </c>
      <c r="D851" t="s">
        <v>24</v>
      </c>
      <c r="E851">
        <v>57</v>
      </c>
      <c r="F851" t="s">
        <v>2947</v>
      </c>
      <c r="G851" t="s">
        <v>1671</v>
      </c>
      <c r="H851" t="s">
        <v>2043</v>
      </c>
      <c r="I851" t="s">
        <v>368</v>
      </c>
      <c r="J851" t="s">
        <v>125</v>
      </c>
      <c r="K851" t="s">
        <v>35</v>
      </c>
      <c r="L851" s="1">
        <v>42930</v>
      </c>
      <c r="M851" s="2">
        <v>762938</v>
      </c>
      <c r="N851" s="2" t="s">
        <v>2950</v>
      </c>
      <c r="O851" t="s">
        <v>41</v>
      </c>
      <c r="P851" t="s">
        <v>21</v>
      </c>
      <c r="Q851" t="s">
        <v>244</v>
      </c>
      <c r="R851">
        <v>8.8000000000000007</v>
      </c>
      <c r="S851" t="s">
        <v>2951</v>
      </c>
    </row>
    <row r="852" spans="1:19" x14ac:dyDescent="0.3">
      <c r="A852" t="s">
        <v>2050</v>
      </c>
      <c r="B852" t="s">
        <v>81</v>
      </c>
      <c r="C852" t="s">
        <v>57</v>
      </c>
      <c r="D852" t="s">
        <v>24</v>
      </c>
      <c r="E852">
        <v>51</v>
      </c>
      <c r="F852" t="s">
        <v>2947</v>
      </c>
      <c r="G852" t="s">
        <v>2045</v>
      </c>
      <c r="H852" t="s">
        <v>2046</v>
      </c>
      <c r="I852" t="s">
        <v>271</v>
      </c>
      <c r="J852" t="s">
        <v>95</v>
      </c>
      <c r="K852" t="s">
        <v>71</v>
      </c>
      <c r="M852" s="2">
        <v>537970</v>
      </c>
      <c r="N852" s="2" t="s">
        <v>2950</v>
      </c>
      <c r="O852" t="s">
        <v>111</v>
      </c>
      <c r="P852" t="s">
        <v>205</v>
      </c>
      <c r="Q852" t="s">
        <v>158</v>
      </c>
      <c r="R852">
        <v>4.0999999999999996</v>
      </c>
      <c r="S852" t="s">
        <v>2952</v>
      </c>
    </row>
    <row r="853" spans="1:19" x14ac:dyDescent="0.3">
      <c r="A853" t="s">
        <v>2052</v>
      </c>
      <c r="B853" t="s">
        <v>175</v>
      </c>
      <c r="C853" t="s">
        <v>50</v>
      </c>
      <c r="D853" t="s">
        <v>24</v>
      </c>
      <c r="E853">
        <v>49</v>
      </c>
      <c r="F853" t="s">
        <v>2947</v>
      </c>
      <c r="G853" t="s">
        <v>2390</v>
      </c>
      <c r="H853" t="s">
        <v>2369</v>
      </c>
      <c r="I853" t="s">
        <v>485</v>
      </c>
      <c r="K853" t="s">
        <v>71</v>
      </c>
      <c r="L853" s="1">
        <v>44380</v>
      </c>
      <c r="M853" s="2">
        <v>267101</v>
      </c>
      <c r="N853" s="2" t="s">
        <v>2948</v>
      </c>
      <c r="O853" t="s">
        <v>111</v>
      </c>
      <c r="P853" t="s">
        <v>205</v>
      </c>
      <c r="Q853" t="s">
        <v>72</v>
      </c>
      <c r="R853">
        <v>4.9000000000000004</v>
      </c>
      <c r="S853" t="s">
        <v>2952</v>
      </c>
    </row>
    <row r="854" spans="1:19" x14ac:dyDescent="0.3">
      <c r="A854" t="s">
        <v>2054</v>
      </c>
      <c r="B854" t="s">
        <v>259</v>
      </c>
      <c r="C854" t="s">
        <v>31</v>
      </c>
      <c r="D854" t="s">
        <v>45</v>
      </c>
      <c r="E854">
        <v>24</v>
      </c>
      <c r="F854" t="s">
        <v>2945</v>
      </c>
      <c r="G854" t="s">
        <v>2459</v>
      </c>
      <c r="H854" t="s">
        <v>2049</v>
      </c>
      <c r="I854" t="s">
        <v>53</v>
      </c>
      <c r="J854" t="s">
        <v>1169</v>
      </c>
      <c r="K854" t="s">
        <v>48</v>
      </c>
      <c r="L854" s="1">
        <v>44681</v>
      </c>
      <c r="M854" s="2">
        <v>715173</v>
      </c>
      <c r="N854" s="2" t="s">
        <v>2950</v>
      </c>
      <c r="O854" t="s">
        <v>130</v>
      </c>
      <c r="P854" t="s">
        <v>21</v>
      </c>
      <c r="Q854" t="s">
        <v>158</v>
      </c>
      <c r="R854">
        <v>4</v>
      </c>
      <c r="S854" t="s">
        <v>2952</v>
      </c>
    </row>
    <row r="855" spans="1:19" x14ac:dyDescent="0.3">
      <c r="A855" t="s">
        <v>2055</v>
      </c>
      <c r="B855" t="s">
        <v>132</v>
      </c>
      <c r="C855" t="s">
        <v>108</v>
      </c>
      <c r="D855" t="s">
        <v>45</v>
      </c>
      <c r="E855">
        <v>46</v>
      </c>
      <c r="F855" t="s">
        <v>2947</v>
      </c>
      <c r="G855" t="s">
        <v>2051</v>
      </c>
      <c r="H855" t="s">
        <v>2873</v>
      </c>
      <c r="I855" t="s">
        <v>517</v>
      </c>
      <c r="J855" t="s">
        <v>512</v>
      </c>
      <c r="K855" t="s">
        <v>71</v>
      </c>
      <c r="L855" s="1">
        <v>43167</v>
      </c>
      <c r="M855" s="2">
        <v>286543</v>
      </c>
      <c r="N855" s="2" t="s">
        <v>2948</v>
      </c>
      <c r="O855" t="s">
        <v>130</v>
      </c>
      <c r="P855" t="s">
        <v>353</v>
      </c>
      <c r="Q855" t="s">
        <v>65</v>
      </c>
      <c r="R855">
        <v>8.1999999999999993</v>
      </c>
      <c r="S855" t="s">
        <v>2951</v>
      </c>
    </row>
    <row r="856" spans="1:19" x14ac:dyDescent="0.3">
      <c r="A856" t="s">
        <v>2057</v>
      </c>
      <c r="B856" t="s">
        <v>92</v>
      </c>
      <c r="C856" t="s">
        <v>149</v>
      </c>
      <c r="D856" t="s">
        <v>45</v>
      </c>
      <c r="E856">
        <v>30</v>
      </c>
      <c r="F856" t="s">
        <v>2945</v>
      </c>
      <c r="G856" t="s">
        <v>2053</v>
      </c>
      <c r="H856" t="s">
        <v>2874</v>
      </c>
      <c r="I856" t="s">
        <v>209</v>
      </c>
      <c r="J856" t="s">
        <v>166</v>
      </c>
      <c r="K856" t="s">
        <v>71</v>
      </c>
      <c r="L856" s="1">
        <v>44597</v>
      </c>
      <c r="M856" s="2">
        <v>2488550</v>
      </c>
      <c r="N856" s="2" t="s">
        <v>2950</v>
      </c>
      <c r="O856" t="s">
        <v>111</v>
      </c>
      <c r="P856" t="s">
        <v>205</v>
      </c>
      <c r="Q856" t="s">
        <v>244</v>
      </c>
      <c r="R856">
        <v>4.3</v>
      </c>
      <c r="S856" t="s">
        <v>2952</v>
      </c>
    </row>
    <row r="857" spans="1:19" x14ac:dyDescent="0.3">
      <c r="A857" t="s">
        <v>2060</v>
      </c>
      <c r="B857" t="s">
        <v>85</v>
      </c>
      <c r="C857" t="s">
        <v>249</v>
      </c>
      <c r="D857" t="s">
        <v>24</v>
      </c>
      <c r="E857">
        <v>53</v>
      </c>
      <c r="F857" t="s">
        <v>2947</v>
      </c>
      <c r="G857" t="s">
        <v>1964</v>
      </c>
      <c r="H857" t="s">
        <v>2875</v>
      </c>
      <c r="I857" t="s">
        <v>394</v>
      </c>
      <c r="J857" t="s">
        <v>231</v>
      </c>
      <c r="K857" t="s">
        <v>71</v>
      </c>
      <c r="L857" s="1">
        <v>44679</v>
      </c>
      <c r="M857" s="2">
        <v>500134</v>
      </c>
      <c r="N857" s="2" t="s">
        <v>2950</v>
      </c>
      <c r="O857" t="s">
        <v>130</v>
      </c>
      <c r="P857" t="s">
        <v>21</v>
      </c>
      <c r="Q857" t="s">
        <v>79</v>
      </c>
      <c r="R857">
        <v>4</v>
      </c>
      <c r="S857" t="s">
        <v>2952</v>
      </c>
    </row>
    <row r="858" spans="1:19" x14ac:dyDescent="0.3">
      <c r="A858" t="s">
        <v>2062</v>
      </c>
      <c r="B858" t="s">
        <v>124</v>
      </c>
      <c r="C858" t="s">
        <v>475</v>
      </c>
      <c r="D858" t="s">
        <v>45</v>
      </c>
      <c r="E858">
        <v>57</v>
      </c>
      <c r="F858" t="s">
        <v>2947</v>
      </c>
      <c r="G858" t="s">
        <v>2056</v>
      </c>
      <c r="H858" t="s">
        <v>2876</v>
      </c>
      <c r="I858" t="s">
        <v>368</v>
      </c>
      <c r="J858" t="s">
        <v>415</v>
      </c>
      <c r="K858" t="s">
        <v>71</v>
      </c>
      <c r="L858" s="1">
        <v>44818</v>
      </c>
      <c r="M858" s="2">
        <v>813826</v>
      </c>
      <c r="N858" s="2" t="s">
        <v>2950</v>
      </c>
      <c r="O858" t="s">
        <v>41</v>
      </c>
      <c r="P858" t="s">
        <v>205</v>
      </c>
      <c r="Q858" t="s">
        <v>65</v>
      </c>
      <c r="R858">
        <v>3.7</v>
      </c>
      <c r="S858" t="s">
        <v>2952</v>
      </c>
    </row>
    <row r="859" spans="1:19" x14ac:dyDescent="0.3">
      <c r="A859" t="s">
        <v>2064</v>
      </c>
      <c r="B859" t="s">
        <v>190</v>
      </c>
      <c r="C859" t="s">
        <v>249</v>
      </c>
      <c r="D859" t="s">
        <v>24</v>
      </c>
      <c r="E859">
        <v>43</v>
      </c>
      <c r="F859" t="s">
        <v>2946</v>
      </c>
      <c r="G859" t="s">
        <v>2058</v>
      </c>
      <c r="H859" t="s">
        <v>2059</v>
      </c>
      <c r="I859" t="s">
        <v>485</v>
      </c>
      <c r="J859" t="s">
        <v>379</v>
      </c>
      <c r="K859" t="s">
        <v>71</v>
      </c>
      <c r="M859" s="2">
        <v>419091</v>
      </c>
      <c r="N859" s="2" t="s">
        <v>2948</v>
      </c>
      <c r="O859" t="s">
        <v>130</v>
      </c>
      <c r="P859" t="s">
        <v>21</v>
      </c>
      <c r="Q859" t="s">
        <v>79</v>
      </c>
      <c r="R859">
        <v>5.4</v>
      </c>
      <c r="S859" t="s">
        <v>2953</v>
      </c>
    </row>
    <row r="860" spans="1:19" x14ac:dyDescent="0.3">
      <c r="A860" t="s">
        <v>2065</v>
      </c>
      <c r="B860" t="s">
        <v>212</v>
      </c>
      <c r="C860" t="s">
        <v>516</v>
      </c>
      <c r="D860" t="s">
        <v>45</v>
      </c>
      <c r="E860">
        <v>51</v>
      </c>
      <c r="F860" t="s">
        <v>2947</v>
      </c>
      <c r="G860" t="s">
        <v>2061</v>
      </c>
      <c r="H860" t="s">
        <v>2877</v>
      </c>
      <c r="I860" t="s">
        <v>53</v>
      </c>
      <c r="J860" t="s">
        <v>779</v>
      </c>
      <c r="K860" t="s">
        <v>48</v>
      </c>
      <c r="L860" s="1">
        <v>43030</v>
      </c>
      <c r="M860" s="2">
        <v>151609</v>
      </c>
      <c r="N860" s="2" t="s">
        <v>2949</v>
      </c>
      <c r="O860" t="s">
        <v>111</v>
      </c>
      <c r="P860" t="s">
        <v>90</v>
      </c>
      <c r="Q860" t="s">
        <v>65</v>
      </c>
      <c r="R860">
        <v>8.6</v>
      </c>
      <c r="S860" t="s">
        <v>2951</v>
      </c>
    </row>
    <row r="861" spans="1:19" x14ac:dyDescent="0.3">
      <c r="A861" t="s">
        <v>2067</v>
      </c>
      <c r="B861" t="s">
        <v>97</v>
      </c>
      <c r="C861" t="s">
        <v>229</v>
      </c>
      <c r="D861" t="s">
        <v>24</v>
      </c>
      <c r="E861">
        <v>25</v>
      </c>
      <c r="F861" t="s">
        <v>2945</v>
      </c>
      <c r="G861" t="s">
        <v>2063</v>
      </c>
      <c r="H861" t="s">
        <v>2878</v>
      </c>
      <c r="I861" t="s">
        <v>517</v>
      </c>
      <c r="J861" t="s">
        <v>365</v>
      </c>
      <c r="K861" t="s">
        <v>48</v>
      </c>
      <c r="L861" s="1">
        <v>44490</v>
      </c>
      <c r="M861" s="2">
        <v>875871</v>
      </c>
      <c r="N861" s="2" t="s">
        <v>2950</v>
      </c>
      <c r="O861" t="s">
        <v>130</v>
      </c>
      <c r="P861" t="s">
        <v>152</v>
      </c>
      <c r="Q861" t="s">
        <v>79</v>
      </c>
      <c r="R861">
        <v>4.5999999999999996</v>
      </c>
      <c r="S861" t="s">
        <v>2952</v>
      </c>
    </row>
    <row r="862" spans="1:19" x14ac:dyDescent="0.3">
      <c r="A862" t="s">
        <v>2069</v>
      </c>
      <c r="B862" t="s">
        <v>555</v>
      </c>
      <c r="C862" t="s">
        <v>176</v>
      </c>
      <c r="D862" t="s">
        <v>24</v>
      </c>
      <c r="E862">
        <v>56</v>
      </c>
      <c r="F862" t="s">
        <v>2947</v>
      </c>
      <c r="G862" t="s">
        <v>2460</v>
      </c>
      <c r="H862" t="s">
        <v>2369</v>
      </c>
      <c r="I862" t="s">
        <v>100</v>
      </c>
      <c r="J862" t="s">
        <v>603</v>
      </c>
      <c r="K862" t="s">
        <v>35</v>
      </c>
      <c r="L862" s="1">
        <v>43328</v>
      </c>
      <c r="M862" s="2">
        <v>332268</v>
      </c>
      <c r="N862" s="2" t="s">
        <v>2948</v>
      </c>
      <c r="O862" t="s">
        <v>130</v>
      </c>
      <c r="P862" t="s">
        <v>353</v>
      </c>
      <c r="Q862" t="s">
        <v>244</v>
      </c>
      <c r="R862">
        <v>7.7</v>
      </c>
      <c r="S862" t="s">
        <v>2953</v>
      </c>
    </row>
    <row r="863" spans="1:19" x14ac:dyDescent="0.3">
      <c r="A863" t="s">
        <v>2071</v>
      </c>
      <c r="B863" t="s">
        <v>190</v>
      </c>
      <c r="C863" t="s">
        <v>23</v>
      </c>
      <c r="D863" t="s">
        <v>24</v>
      </c>
      <c r="E863">
        <v>57</v>
      </c>
      <c r="F863" t="s">
        <v>2947</v>
      </c>
      <c r="G863" t="s">
        <v>2066</v>
      </c>
      <c r="H863" t="s">
        <v>2879</v>
      </c>
      <c r="I863" t="s">
        <v>368</v>
      </c>
      <c r="J863" t="s">
        <v>796</v>
      </c>
      <c r="K863" t="s">
        <v>48</v>
      </c>
      <c r="L863" s="1">
        <v>42399</v>
      </c>
      <c r="M863" s="2">
        <v>781785</v>
      </c>
      <c r="N863" s="2" t="s">
        <v>2950</v>
      </c>
      <c r="O863" t="s">
        <v>198</v>
      </c>
      <c r="P863" t="s">
        <v>21</v>
      </c>
      <c r="Q863" t="s">
        <v>244</v>
      </c>
      <c r="R863">
        <v>10.3</v>
      </c>
      <c r="S863" t="s">
        <v>2951</v>
      </c>
    </row>
    <row r="864" spans="1:19" x14ac:dyDescent="0.3">
      <c r="A864" t="s">
        <v>2073</v>
      </c>
      <c r="B864" t="s">
        <v>97</v>
      </c>
      <c r="C864" t="s">
        <v>57</v>
      </c>
      <c r="D864" t="s">
        <v>45</v>
      </c>
      <c r="E864">
        <v>35</v>
      </c>
      <c r="F864" t="s">
        <v>2946</v>
      </c>
      <c r="G864" t="s">
        <v>2068</v>
      </c>
      <c r="H864" t="s">
        <v>2880</v>
      </c>
      <c r="I864" t="s">
        <v>485</v>
      </c>
      <c r="J864" t="s">
        <v>398</v>
      </c>
      <c r="K864" t="s">
        <v>48</v>
      </c>
      <c r="L864" s="1">
        <v>44633</v>
      </c>
      <c r="M864" s="2">
        <v>182993</v>
      </c>
      <c r="N864" s="2" t="s">
        <v>2949</v>
      </c>
      <c r="O864" t="s">
        <v>253</v>
      </c>
      <c r="P864" t="s">
        <v>205</v>
      </c>
      <c r="Q864" t="s">
        <v>244</v>
      </c>
      <c r="R864">
        <v>4.2</v>
      </c>
      <c r="S864" t="s">
        <v>2952</v>
      </c>
    </row>
    <row r="865" spans="1:19" x14ac:dyDescent="0.3">
      <c r="A865" t="s">
        <v>2075</v>
      </c>
      <c r="B865" t="s">
        <v>132</v>
      </c>
      <c r="C865" t="s">
        <v>327</v>
      </c>
      <c r="D865" t="s">
        <v>24</v>
      </c>
      <c r="E865">
        <v>47</v>
      </c>
      <c r="F865" t="s">
        <v>2947</v>
      </c>
      <c r="G865" t="s">
        <v>2070</v>
      </c>
      <c r="H865" t="s">
        <v>2369</v>
      </c>
      <c r="I865" t="s">
        <v>592</v>
      </c>
      <c r="J865" t="s">
        <v>522</v>
      </c>
      <c r="K865" t="s">
        <v>48</v>
      </c>
      <c r="L865" s="1">
        <v>42731</v>
      </c>
      <c r="M865" s="2">
        <v>115228</v>
      </c>
      <c r="N865" s="2" t="s">
        <v>2949</v>
      </c>
      <c r="O865" t="s">
        <v>253</v>
      </c>
      <c r="P865" t="s">
        <v>205</v>
      </c>
      <c r="Q865" t="s">
        <v>79</v>
      </c>
      <c r="R865">
        <v>9.4</v>
      </c>
      <c r="S865" t="s">
        <v>2951</v>
      </c>
    </row>
    <row r="866" spans="1:19" x14ac:dyDescent="0.3">
      <c r="A866" t="s">
        <v>2078</v>
      </c>
      <c r="B866" t="s">
        <v>286</v>
      </c>
      <c r="C866" t="s">
        <v>114</v>
      </c>
      <c r="D866" t="s">
        <v>24</v>
      </c>
      <c r="E866">
        <v>35</v>
      </c>
      <c r="F866" t="s">
        <v>2946</v>
      </c>
      <c r="G866" t="s">
        <v>2072</v>
      </c>
      <c r="H866" t="s">
        <v>2881</v>
      </c>
      <c r="I866" t="s">
        <v>485</v>
      </c>
      <c r="J866" t="s">
        <v>459</v>
      </c>
      <c r="K866" t="s">
        <v>71</v>
      </c>
      <c r="L866" s="1">
        <v>42440</v>
      </c>
      <c r="M866" s="2">
        <v>139116</v>
      </c>
      <c r="N866" s="2" t="s">
        <v>2949</v>
      </c>
      <c r="O866" t="s">
        <v>130</v>
      </c>
      <c r="P866" t="s">
        <v>152</v>
      </c>
      <c r="Q866" t="s">
        <v>244</v>
      </c>
      <c r="R866">
        <v>10.199999999999999</v>
      </c>
      <c r="S866" t="s">
        <v>2951</v>
      </c>
    </row>
    <row r="867" spans="1:19" x14ac:dyDescent="0.3">
      <c r="A867" t="s">
        <v>2080</v>
      </c>
      <c r="B867" t="s">
        <v>281</v>
      </c>
      <c r="C867" t="s">
        <v>237</v>
      </c>
      <c r="D867" t="s">
        <v>45</v>
      </c>
      <c r="E867">
        <v>40</v>
      </c>
      <c r="F867" t="s">
        <v>2946</v>
      </c>
      <c r="G867" t="s">
        <v>2074</v>
      </c>
      <c r="H867" t="s">
        <v>2369</v>
      </c>
      <c r="I867" t="s">
        <v>394</v>
      </c>
      <c r="J867" t="s">
        <v>519</v>
      </c>
      <c r="K867" t="s">
        <v>35</v>
      </c>
      <c r="L867" s="1">
        <v>42271</v>
      </c>
      <c r="N867" s="2" t="s">
        <v>2369</v>
      </c>
      <c r="O867" t="s">
        <v>111</v>
      </c>
      <c r="P867" t="s">
        <v>353</v>
      </c>
      <c r="Q867" t="s">
        <v>244</v>
      </c>
      <c r="R867">
        <v>10.6</v>
      </c>
      <c r="S867" t="s">
        <v>2951</v>
      </c>
    </row>
    <row r="868" spans="1:19" x14ac:dyDescent="0.3">
      <c r="A868" t="s">
        <v>2082</v>
      </c>
      <c r="B868" t="s">
        <v>97</v>
      </c>
      <c r="C868" t="s">
        <v>141</v>
      </c>
      <c r="D868" t="s">
        <v>45</v>
      </c>
      <c r="E868">
        <v>45</v>
      </c>
      <c r="F868" t="s">
        <v>2946</v>
      </c>
      <c r="G868" t="s">
        <v>2076</v>
      </c>
      <c r="H868" t="s">
        <v>2077</v>
      </c>
      <c r="I868" t="s">
        <v>271</v>
      </c>
      <c r="J868" t="s">
        <v>129</v>
      </c>
      <c r="K868" t="s">
        <v>28</v>
      </c>
      <c r="L868" s="1">
        <v>43451</v>
      </c>
      <c r="M868" s="2">
        <v>583271</v>
      </c>
      <c r="N868" s="2" t="s">
        <v>2950</v>
      </c>
      <c r="O868" t="s">
        <v>111</v>
      </c>
      <c r="P868" t="s">
        <v>152</v>
      </c>
      <c r="Q868" t="s">
        <v>65</v>
      </c>
      <c r="R868">
        <v>7.4</v>
      </c>
      <c r="S868" t="s">
        <v>2953</v>
      </c>
    </row>
    <row r="869" spans="1:19" x14ac:dyDescent="0.3">
      <c r="A869" t="s">
        <v>2084</v>
      </c>
      <c r="B869" t="s">
        <v>269</v>
      </c>
      <c r="C869" t="s">
        <v>82</v>
      </c>
      <c r="D869" t="s">
        <v>24</v>
      </c>
      <c r="E869">
        <v>51</v>
      </c>
      <c r="F869" t="s">
        <v>2947</v>
      </c>
      <c r="G869" t="s">
        <v>2079</v>
      </c>
      <c r="H869" t="s">
        <v>2882</v>
      </c>
      <c r="I869" t="s">
        <v>592</v>
      </c>
      <c r="J869" t="s">
        <v>765</v>
      </c>
      <c r="K869" t="s">
        <v>71</v>
      </c>
      <c r="L869" s="1">
        <v>43071</v>
      </c>
      <c r="M869" s="2">
        <v>106819</v>
      </c>
      <c r="N869" s="2" t="s">
        <v>2949</v>
      </c>
      <c r="O869" t="s">
        <v>253</v>
      </c>
      <c r="P869" t="s">
        <v>21</v>
      </c>
      <c r="Q869" t="s">
        <v>158</v>
      </c>
      <c r="R869">
        <v>8.4</v>
      </c>
      <c r="S869" t="s">
        <v>2951</v>
      </c>
    </row>
    <row r="870" spans="1:19" x14ac:dyDescent="0.3">
      <c r="A870" t="s">
        <v>2087</v>
      </c>
      <c r="B870" t="s">
        <v>98</v>
      </c>
      <c r="C870" t="s">
        <v>104</v>
      </c>
      <c r="D870" t="s">
        <v>24</v>
      </c>
      <c r="E870">
        <v>43</v>
      </c>
      <c r="F870" t="s">
        <v>2946</v>
      </c>
      <c r="G870" t="s">
        <v>1581</v>
      </c>
      <c r="H870" t="s">
        <v>2081</v>
      </c>
      <c r="I870" t="s">
        <v>53</v>
      </c>
      <c r="J870" t="s">
        <v>659</v>
      </c>
      <c r="K870" t="s">
        <v>71</v>
      </c>
      <c r="L870" s="1">
        <v>44377</v>
      </c>
      <c r="M870" s="2">
        <v>269548</v>
      </c>
      <c r="N870" s="2" t="s">
        <v>2948</v>
      </c>
      <c r="O870" t="s">
        <v>253</v>
      </c>
      <c r="P870" t="s">
        <v>152</v>
      </c>
      <c r="Q870" t="s">
        <v>65</v>
      </c>
      <c r="R870">
        <v>4.9000000000000004</v>
      </c>
      <c r="S870" t="s">
        <v>2952</v>
      </c>
    </row>
    <row r="871" spans="1:19" x14ac:dyDescent="0.3">
      <c r="A871" t="s">
        <v>2089</v>
      </c>
      <c r="B871" t="s">
        <v>269</v>
      </c>
      <c r="C871" t="s">
        <v>336</v>
      </c>
      <c r="D871" t="s">
        <v>24</v>
      </c>
      <c r="E871">
        <v>54</v>
      </c>
      <c r="F871" t="s">
        <v>2947</v>
      </c>
      <c r="G871" t="s">
        <v>2083</v>
      </c>
      <c r="H871" t="s">
        <v>2883</v>
      </c>
      <c r="I871" t="s">
        <v>592</v>
      </c>
      <c r="J871" t="s">
        <v>765</v>
      </c>
      <c r="K871" t="s">
        <v>71</v>
      </c>
      <c r="L871" s="1">
        <v>42202</v>
      </c>
      <c r="M871" s="2">
        <v>476810</v>
      </c>
      <c r="N871" s="2" t="s">
        <v>2948</v>
      </c>
      <c r="O871" t="s">
        <v>130</v>
      </c>
      <c r="P871" t="s">
        <v>21</v>
      </c>
      <c r="Q871" t="s">
        <v>244</v>
      </c>
      <c r="R871">
        <v>10.8</v>
      </c>
      <c r="S871" t="s">
        <v>2951</v>
      </c>
    </row>
    <row r="872" spans="1:19" x14ac:dyDescent="0.3">
      <c r="A872" t="s">
        <v>2090</v>
      </c>
      <c r="B872" t="s">
        <v>44</v>
      </c>
      <c r="C872" t="s">
        <v>161</v>
      </c>
      <c r="D872" t="s">
        <v>24</v>
      </c>
      <c r="E872">
        <v>26</v>
      </c>
      <c r="F872" t="s">
        <v>2945</v>
      </c>
      <c r="G872" t="s">
        <v>2085</v>
      </c>
      <c r="H872" t="s">
        <v>2086</v>
      </c>
      <c r="I872" t="s">
        <v>235</v>
      </c>
      <c r="J872" t="s">
        <v>480</v>
      </c>
      <c r="K872" t="s">
        <v>71</v>
      </c>
      <c r="L872" s="1">
        <v>43728</v>
      </c>
      <c r="M872" s="2">
        <v>694063</v>
      </c>
      <c r="N872" s="2" t="s">
        <v>2950</v>
      </c>
      <c r="O872" t="s">
        <v>130</v>
      </c>
      <c r="P872" t="s">
        <v>21</v>
      </c>
      <c r="Q872" t="s">
        <v>79</v>
      </c>
      <c r="R872">
        <v>6.7</v>
      </c>
      <c r="S872" t="s">
        <v>2953</v>
      </c>
    </row>
    <row r="873" spans="1:19" x14ac:dyDescent="0.3">
      <c r="A873" t="s">
        <v>2093</v>
      </c>
      <c r="B873" t="s">
        <v>148</v>
      </c>
      <c r="C873" t="s">
        <v>31</v>
      </c>
      <c r="D873" t="s">
        <v>45</v>
      </c>
      <c r="E873">
        <v>49</v>
      </c>
      <c r="F873" t="s">
        <v>2947</v>
      </c>
      <c r="G873" t="s">
        <v>2088</v>
      </c>
      <c r="H873" t="s">
        <v>2884</v>
      </c>
      <c r="I873" t="s">
        <v>368</v>
      </c>
      <c r="J873" t="s">
        <v>20</v>
      </c>
      <c r="K873" t="s">
        <v>71</v>
      </c>
      <c r="L873" s="1">
        <v>42505</v>
      </c>
      <c r="M873" s="2">
        <v>655945</v>
      </c>
      <c r="N873" s="2" t="s">
        <v>2950</v>
      </c>
      <c r="O873" t="s">
        <v>111</v>
      </c>
      <c r="P873" t="s">
        <v>21</v>
      </c>
      <c r="Q873" t="s">
        <v>244</v>
      </c>
      <c r="R873">
        <v>10</v>
      </c>
      <c r="S873" t="s">
        <v>2951</v>
      </c>
    </row>
    <row r="874" spans="1:19" x14ac:dyDescent="0.3">
      <c r="A874" t="s">
        <v>2095</v>
      </c>
      <c r="B874" t="s">
        <v>43</v>
      </c>
      <c r="C874" t="s">
        <v>141</v>
      </c>
      <c r="D874" t="s">
        <v>24</v>
      </c>
      <c r="E874">
        <v>29</v>
      </c>
      <c r="F874" t="s">
        <v>2945</v>
      </c>
      <c r="G874" t="s">
        <v>2461</v>
      </c>
      <c r="H874" t="s">
        <v>2369</v>
      </c>
      <c r="I874" t="s">
        <v>394</v>
      </c>
      <c r="J874" t="s">
        <v>231</v>
      </c>
      <c r="K874" t="s">
        <v>71</v>
      </c>
      <c r="L874" s="1">
        <v>43252</v>
      </c>
      <c r="M874" s="2">
        <v>536511</v>
      </c>
      <c r="N874" s="2" t="s">
        <v>2950</v>
      </c>
      <c r="O874" t="s">
        <v>130</v>
      </c>
      <c r="P874" t="s">
        <v>205</v>
      </c>
      <c r="Q874" t="s">
        <v>158</v>
      </c>
      <c r="R874">
        <v>8</v>
      </c>
      <c r="S874" t="s">
        <v>2953</v>
      </c>
    </row>
    <row r="875" spans="1:19" x14ac:dyDescent="0.3">
      <c r="A875" t="s">
        <v>2097</v>
      </c>
      <c r="B875" t="s">
        <v>97</v>
      </c>
      <c r="C875" t="s">
        <v>221</v>
      </c>
      <c r="D875" t="s">
        <v>24</v>
      </c>
      <c r="E875">
        <v>32</v>
      </c>
      <c r="F875" t="s">
        <v>2946</v>
      </c>
      <c r="G875" t="s">
        <v>2091</v>
      </c>
      <c r="H875" t="s">
        <v>2092</v>
      </c>
      <c r="I875" t="s">
        <v>485</v>
      </c>
      <c r="J875" t="s">
        <v>179</v>
      </c>
      <c r="K875" t="s">
        <v>35</v>
      </c>
      <c r="L875" s="1">
        <v>43851</v>
      </c>
      <c r="M875" s="2">
        <v>483052</v>
      </c>
      <c r="N875" s="2" t="s">
        <v>2948</v>
      </c>
      <c r="O875" t="s">
        <v>216</v>
      </c>
      <c r="P875" t="s">
        <v>21</v>
      </c>
      <c r="Q875" t="s">
        <v>244</v>
      </c>
      <c r="R875">
        <v>6.3</v>
      </c>
      <c r="S875" t="s">
        <v>2953</v>
      </c>
    </row>
    <row r="876" spans="1:19" x14ac:dyDescent="0.3">
      <c r="A876" t="s">
        <v>2098</v>
      </c>
      <c r="B876" t="s">
        <v>286</v>
      </c>
      <c r="C876" t="s">
        <v>133</v>
      </c>
      <c r="D876" t="s">
        <v>24</v>
      </c>
      <c r="E876">
        <v>58</v>
      </c>
      <c r="F876" t="s">
        <v>2947</v>
      </c>
      <c r="G876" t="s">
        <v>2094</v>
      </c>
      <c r="H876" t="s">
        <v>2885</v>
      </c>
      <c r="I876" t="s">
        <v>368</v>
      </c>
      <c r="J876" t="s">
        <v>267</v>
      </c>
      <c r="K876" t="s">
        <v>71</v>
      </c>
      <c r="L876" s="1">
        <v>42172</v>
      </c>
      <c r="M876" s="2">
        <v>724655</v>
      </c>
      <c r="N876" s="2" t="s">
        <v>2950</v>
      </c>
      <c r="O876" t="s">
        <v>130</v>
      </c>
      <c r="P876" t="s">
        <v>21</v>
      </c>
      <c r="Q876" t="s">
        <v>244</v>
      </c>
      <c r="R876">
        <v>10.9</v>
      </c>
      <c r="S876" t="s">
        <v>2951</v>
      </c>
    </row>
    <row r="877" spans="1:19" x14ac:dyDescent="0.3">
      <c r="A877" t="s">
        <v>2100</v>
      </c>
      <c r="B877" t="s">
        <v>286</v>
      </c>
      <c r="C877" t="s">
        <v>249</v>
      </c>
      <c r="D877" t="s">
        <v>24</v>
      </c>
      <c r="E877">
        <v>54</v>
      </c>
      <c r="F877" t="s">
        <v>2947</v>
      </c>
      <c r="G877" t="s">
        <v>2096</v>
      </c>
      <c r="H877" t="s">
        <v>2886</v>
      </c>
      <c r="I877" t="s">
        <v>394</v>
      </c>
      <c r="J877" t="s">
        <v>727</v>
      </c>
      <c r="K877" t="s">
        <v>28</v>
      </c>
      <c r="M877" s="2">
        <v>436245</v>
      </c>
      <c r="N877" s="2" t="s">
        <v>2948</v>
      </c>
      <c r="O877" t="s">
        <v>130</v>
      </c>
      <c r="P877" t="s">
        <v>353</v>
      </c>
      <c r="Q877" t="s">
        <v>244</v>
      </c>
      <c r="R877">
        <v>10.9</v>
      </c>
      <c r="S877" t="s">
        <v>2951</v>
      </c>
    </row>
    <row r="878" spans="1:19" x14ac:dyDescent="0.3">
      <c r="A878" t="s">
        <v>2102</v>
      </c>
      <c r="B878" t="s">
        <v>43</v>
      </c>
      <c r="C878" t="s">
        <v>57</v>
      </c>
      <c r="D878" t="s">
        <v>24</v>
      </c>
      <c r="E878">
        <v>26</v>
      </c>
      <c r="F878" t="s">
        <v>2945</v>
      </c>
      <c r="G878" t="s">
        <v>2462</v>
      </c>
      <c r="H878" t="s">
        <v>2369</v>
      </c>
      <c r="I878" t="s">
        <v>517</v>
      </c>
      <c r="J878" t="s">
        <v>440</v>
      </c>
      <c r="K878" t="s">
        <v>71</v>
      </c>
      <c r="L878" s="1">
        <v>43123</v>
      </c>
      <c r="M878" s="2">
        <v>577673</v>
      </c>
      <c r="N878" s="2" t="s">
        <v>2950</v>
      </c>
      <c r="O878" t="s">
        <v>130</v>
      </c>
      <c r="P878" t="s">
        <v>152</v>
      </c>
      <c r="Q878" t="s">
        <v>158</v>
      </c>
      <c r="R878">
        <v>8.3000000000000007</v>
      </c>
      <c r="S878" t="s">
        <v>2951</v>
      </c>
    </row>
    <row r="879" spans="1:19" x14ac:dyDescent="0.3">
      <c r="A879" t="s">
        <v>2103</v>
      </c>
      <c r="B879" t="s">
        <v>310</v>
      </c>
      <c r="C879" t="s">
        <v>120</v>
      </c>
      <c r="D879" t="s">
        <v>45</v>
      </c>
      <c r="E879">
        <v>50</v>
      </c>
      <c r="F879" t="s">
        <v>2947</v>
      </c>
      <c r="G879" t="s">
        <v>2099</v>
      </c>
      <c r="H879" t="s">
        <v>2887</v>
      </c>
      <c r="I879" t="s">
        <v>517</v>
      </c>
      <c r="J879" t="s">
        <v>440</v>
      </c>
      <c r="K879" t="s">
        <v>71</v>
      </c>
      <c r="L879" s="1">
        <v>43623</v>
      </c>
      <c r="M879" s="2">
        <v>567296</v>
      </c>
      <c r="N879" s="2" t="s">
        <v>2950</v>
      </c>
      <c r="O879" t="s">
        <v>130</v>
      </c>
      <c r="P879" t="s">
        <v>90</v>
      </c>
      <c r="Q879" t="s">
        <v>65</v>
      </c>
      <c r="R879">
        <v>6.9</v>
      </c>
      <c r="S879" t="s">
        <v>2953</v>
      </c>
    </row>
    <row r="880" spans="1:19" x14ac:dyDescent="0.3">
      <c r="A880" t="s">
        <v>2106</v>
      </c>
      <c r="B880" t="s">
        <v>124</v>
      </c>
      <c r="C880" t="s">
        <v>264</v>
      </c>
      <c r="D880" t="s">
        <v>24</v>
      </c>
      <c r="E880">
        <v>33</v>
      </c>
      <c r="F880" t="s">
        <v>2946</v>
      </c>
      <c r="G880" t="s">
        <v>2101</v>
      </c>
      <c r="H880" t="s">
        <v>2888</v>
      </c>
      <c r="I880" t="s">
        <v>209</v>
      </c>
      <c r="J880" t="s">
        <v>393</v>
      </c>
      <c r="K880" t="s">
        <v>28</v>
      </c>
      <c r="L880" s="1">
        <v>44413</v>
      </c>
      <c r="M880" s="2">
        <v>755631</v>
      </c>
      <c r="N880" s="2" t="s">
        <v>2950</v>
      </c>
      <c r="O880" t="s">
        <v>41</v>
      </c>
      <c r="P880" t="s">
        <v>90</v>
      </c>
      <c r="Q880" t="s">
        <v>244</v>
      </c>
      <c r="R880">
        <v>4.8</v>
      </c>
      <c r="S880" t="s">
        <v>2952</v>
      </c>
    </row>
    <row r="881" spans="1:19" x14ac:dyDescent="0.3">
      <c r="A881" t="s">
        <v>2108</v>
      </c>
      <c r="B881" t="s">
        <v>103</v>
      </c>
      <c r="C881" t="s">
        <v>408</v>
      </c>
      <c r="D881" t="s">
        <v>45</v>
      </c>
      <c r="E881">
        <v>44</v>
      </c>
      <c r="F881" t="s">
        <v>2946</v>
      </c>
      <c r="G881" t="s">
        <v>1759</v>
      </c>
      <c r="H881" t="s">
        <v>2889</v>
      </c>
      <c r="I881" t="s">
        <v>235</v>
      </c>
      <c r="J881" t="s">
        <v>445</v>
      </c>
      <c r="K881" t="s">
        <v>71</v>
      </c>
      <c r="M881" s="2">
        <v>789922</v>
      </c>
      <c r="N881" s="2" t="s">
        <v>2950</v>
      </c>
      <c r="O881" t="s">
        <v>130</v>
      </c>
      <c r="P881" t="s">
        <v>205</v>
      </c>
      <c r="Q881" t="s">
        <v>72</v>
      </c>
      <c r="R881">
        <v>7</v>
      </c>
      <c r="S881" t="s">
        <v>2953</v>
      </c>
    </row>
    <row r="882" spans="1:19" x14ac:dyDescent="0.3">
      <c r="A882" t="s">
        <v>2110</v>
      </c>
      <c r="B882" t="s">
        <v>44</v>
      </c>
      <c r="C882" t="s">
        <v>475</v>
      </c>
      <c r="D882" t="s">
        <v>45</v>
      </c>
      <c r="E882">
        <v>34</v>
      </c>
      <c r="F882" t="s">
        <v>2946</v>
      </c>
      <c r="G882" t="s">
        <v>2104</v>
      </c>
      <c r="H882" t="s">
        <v>2105</v>
      </c>
      <c r="I882" t="s">
        <v>53</v>
      </c>
      <c r="J882" t="s">
        <v>1169</v>
      </c>
      <c r="K882" t="s">
        <v>71</v>
      </c>
      <c r="L882" s="1">
        <v>42750</v>
      </c>
      <c r="M882" s="2">
        <v>307697</v>
      </c>
      <c r="N882" s="2" t="s">
        <v>2948</v>
      </c>
      <c r="O882" t="s">
        <v>111</v>
      </c>
      <c r="P882" t="s">
        <v>152</v>
      </c>
      <c r="Q882" t="s">
        <v>79</v>
      </c>
      <c r="R882">
        <v>9.3000000000000007</v>
      </c>
      <c r="S882" t="s">
        <v>2951</v>
      </c>
    </row>
    <row r="883" spans="1:19" x14ac:dyDescent="0.3">
      <c r="A883" t="s">
        <v>2113</v>
      </c>
      <c r="B883" t="s">
        <v>326</v>
      </c>
      <c r="C883" t="s">
        <v>31</v>
      </c>
      <c r="D883" t="s">
        <v>24</v>
      </c>
      <c r="E883">
        <v>46</v>
      </c>
      <c r="F883" t="s">
        <v>2947</v>
      </c>
      <c r="G883" t="s">
        <v>2107</v>
      </c>
      <c r="H883" t="s">
        <v>2369</v>
      </c>
      <c r="I883" t="s">
        <v>209</v>
      </c>
      <c r="J883" t="s">
        <v>616</v>
      </c>
      <c r="K883" t="s">
        <v>71</v>
      </c>
      <c r="L883" s="1">
        <v>43035</v>
      </c>
      <c r="M883" s="2">
        <v>772718</v>
      </c>
      <c r="N883" s="2" t="s">
        <v>2950</v>
      </c>
      <c r="O883" t="s">
        <v>41</v>
      </c>
      <c r="P883" t="s">
        <v>205</v>
      </c>
      <c r="Q883" t="s">
        <v>244</v>
      </c>
      <c r="R883">
        <v>8.5</v>
      </c>
      <c r="S883" t="s">
        <v>2951</v>
      </c>
    </row>
    <row r="884" spans="1:19" x14ac:dyDescent="0.3">
      <c r="A884" t="s">
        <v>2115</v>
      </c>
      <c r="B884" t="s">
        <v>74</v>
      </c>
      <c r="C884" t="s">
        <v>141</v>
      </c>
      <c r="D884" t="s">
        <v>24</v>
      </c>
      <c r="E884">
        <v>27</v>
      </c>
      <c r="F884" t="s">
        <v>2945</v>
      </c>
      <c r="G884" t="s">
        <v>2109</v>
      </c>
      <c r="H884" t="s">
        <v>2890</v>
      </c>
      <c r="I884" t="s">
        <v>235</v>
      </c>
      <c r="J884" t="s">
        <v>477</v>
      </c>
      <c r="K884" t="s">
        <v>48</v>
      </c>
      <c r="L884" s="1">
        <v>44971</v>
      </c>
      <c r="M884" s="2">
        <v>607614</v>
      </c>
      <c r="N884" s="2" t="s">
        <v>2950</v>
      </c>
      <c r="O884" t="s">
        <v>253</v>
      </c>
      <c r="P884" t="s">
        <v>353</v>
      </c>
      <c r="Q884" t="s">
        <v>158</v>
      </c>
      <c r="R884">
        <v>3.2</v>
      </c>
      <c r="S884" t="s">
        <v>2952</v>
      </c>
    </row>
    <row r="885" spans="1:19" x14ac:dyDescent="0.3">
      <c r="A885" t="s">
        <v>2117</v>
      </c>
      <c r="B885" t="s">
        <v>207</v>
      </c>
      <c r="C885" t="s">
        <v>318</v>
      </c>
      <c r="D885" t="s">
        <v>45</v>
      </c>
      <c r="E885">
        <v>28</v>
      </c>
      <c r="F885" t="s">
        <v>2945</v>
      </c>
      <c r="G885" t="s">
        <v>2111</v>
      </c>
      <c r="H885" t="s">
        <v>2112</v>
      </c>
      <c r="I885" t="s">
        <v>517</v>
      </c>
      <c r="J885" t="s">
        <v>635</v>
      </c>
      <c r="K885" t="s">
        <v>48</v>
      </c>
      <c r="L885" s="1">
        <v>44386</v>
      </c>
      <c r="M885" s="2">
        <v>89425</v>
      </c>
      <c r="N885" s="2" t="s">
        <v>2949</v>
      </c>
      <c r="O885" t="s">
        <v>216</v>
      </c>
      <c r="P885" t="s">
        <v>90</v>
      </c>
      <c r="Q885" t="s">
        <v>244</v>
      </c>
      <c r="R885">
        <v>4.8</v>
      </c>
      <c r="S885" t="s">
        <v>2952</v>
      </c>
    </row>
    <row r="886" spans="1:19" x14ac:dyDescent="0.3">
      <c r="A886" t="s">
        <v>2118</v>
      </c>
      <c r="B886" t="s">
        <v>17</v>
      </c>
      <c r="C886" t="s">
        <v>50</v>
      </c>
      <c r="D886" t="s">
        <v>24</v>
      </c>
      <c r="E886">
        <v>26</v>
      </c>
      <c r="F886" t="s">
        <v>2945</v>
      </c>
      <c r="G886" t="s">
        <v>2114</v>
      </c>
      <c r="H886" t="s">
        <v>2891</v>
      </c>
      <c r="I886" t="s">
        <v>53</v>
      </c>
      <c r="J886" t="s">
        <v>712</v>
      </c>
      <c r="K886" t="s">
        <v>35</v>
      </c>
      <c r="L886" s="1">
        <v>42137</v>
      </c>
      <c r="M886" s="2">
        <v>144649</v>
      </c>
      <c r="N886" s="2" t="s">
        <v>2949</v>
      </c>
      <c r="O886" t="s">
        <v>111</v>
      </c>
      <c r="P886" t="s">
        <v>21</v>
      </c>
      <c r="Q886" t="s">
        <v>79</v>
      </c>
      <c r="R886">
        <v>11</v>
      </c>
      <c r="S886" t="s">
        <v>2951</v>
      </c>
    </row>
    <row r="887" spans="1:19" x14ac:dyDescent="0.3">
      <c r="A887" t="s">
        <v>2120</v>
      </c>
      <c r="B887" t="s">
        <v>416</v>
      </c>
      <c r="C887" t="s">
        <v>108</v>
      </c>
      <c r="D887" t="s">
        <v>24</v>
      </c>
      <c r="F887" t="s">
        <v>2369</v>
      </c>
      <c r="G887" t="s">
        <v>2116</v>
      </c>
      <c r="H887" t="s">
        <v>2369</v>
      </c>
      <c r="I887" t="s">
        <v>209</v>
      </c>
      <c r="J887" t="s">
        <v>1540</v>
      </c>
      <c r="K887" t="s">
        <v>28</v>
      </c>
      <c r="L887" s="1">
        <v>42860</v>
      </c>
      <c r="M887" s="2">
        <v>488895</v>
      </c>
      <c r="N887" s="2" t="s">
        <v>2948</v>
      </c>
      <c r="O887" t="s">
        <v>198</v>
      </c>
      <c r="P887" t="s">
        <v>152</v>
      </c>
      <c r="Q887" t="s">
        <v>79</v>
      </c>
      <c r="R887">
        <v>9</v>
      </c>
      <c r="S887" t="s">
        <v>2951</v>
      </c>
    </row>
    <row r="888" spans="1:19" x14ac:dyDescent="0.3">
      <c r="A888" t="s">
        <v>2122</v>
      </c>
      <c r="B888" t="s">
        <v>132</v>
      </c>
      <c r="C888" t="s">
        <v>475</v>
      </c>
      <c r="D888" t="s">
        <v>24</v>
      </c>
      <c r="E888">
        <v>30</v>
      </c>
      <c r="F888" t="s">
        <v>2945</v>
      </c>
      <c r="G888" t="s">
        <v>2391</v>
      </c>
      <c r="H888" t="s">
        <v>2369</v>
      </c>
      <c r="I888" t="s">
        <v>271</v>
      </c>
      <c r="J888" t="s">
        <v>135</v>
      </c>
      <c r="K888" t="s">
        <v>48</v>
      </c>
      <c r="L888" s="1">
        <v>44143</v>
      </c>
      <c r="M888" s="2">
        <v>385097</v>
      </c>
      <c r="N888" s="2" t="s">
        <v>2948</v>
      </c>
      <c r="O888" t="s">
        <v>111</v>
      </c>
      <c r="P888" t="s">
        <v>90</v>
      </c>
      <c r="Q888" t="s">
        <v>79</v>
      </c>
      <c r="R888">
        <v>5.8</v>
      </c>
      <c r="S888" t="s">
        <v>2953</v>
      </c>
    </row>
    <row r="889" spans="1:19" x14ac:dyDescent="0.3">
      <c r="A889" t="s">
        <v>2124</v>
      </c>
      <c r="B889" t="s">
        <v>119</v>
      </c>
      <c r="C889" t="s">
        <v>516</v>
      </c>
      <c r="D889" t="s">
        <v>24</v>
      </c>
      <c r="E889">
        <v>43</v>
      </c>
      <c r="F889" t="s">
        <v>2946</v>
      </c>
      <c r="G889" t="s">
        <v>2119</v>
      </c>
      <c r="H889" t="s">
        <v>2892</v>
      </c>
      <c r="I889" t="s">
        <v>100</v>
      </c>
      <c r="K889" t="s">
        <v>48</v>
      </c>
      <c r="L889" s="1">
        <v>42703</v>
      </c>
      <c r="M889" s="2">
        <v>258816</v>
      </c>
      <c r="N889" s="2" t="s">
        <v>2948</v>
      </c>
      <c r="O889" t="s">
        <v>253</v>
      </c>
      <c r="P889" t="s">
        <v>353</v>
      </c>
      <c r="Q889" t="s">
        <v>244</v>
      </c>
      <c r="R889">
        <v>9.5</v>
      </c>
      <c r="S889" t="s">
        <v>2951</v>
      </c>
    </row>
    <row r="890" spans="1:19" x14ac:dyDescent="0.3">
      <c r="A890" t="s">
        <v>2126</v>
      </c>
      <c r="B890" t="s">
        <v>132</v>
      </c>
      <c r="C890" t="s">
        <v>155</v>
      </c>
      <c r="D890" t="s">
        <v>24</v>
      </c>
      <c r="E890">
        <v>42</v>
      </c>
      <c r="F890" t="s">
        <v>2946</v>
      </c>
      <c r="G890" t="s">
        <v>2121</v>
      </c>
      <c r="H890" t="s">
        <v>2893</v>
      </c>
      <c r="I890" t="s">
        <v>394</v>
      </c>
      <c r="J890" t="s">
        <v>401</v>
      </c>
      <c r="K890" t="s">
        <v>48</v>
      </c>
      <c r="L890" s="1">
        <v>44316</v>
      </c>
      <c r="M890" s="2">
        <v>855732</v>
      </c>
      <c r="N890" s="2" t="s">
        <v>2950</v>
      </c>
      <c r="O890" t="s">
        <v>130</v>
      </c>
      <c r="P890" t="s">
        <v>21</v>
      </c>
      <c r="Q890" t="s">
        <v>79</v>
      </c>
      <c r="R890">
        <v>5</v>
      </c>
      <c r="S890" t="s">
        <v>2952</v>
      </c>
    </row>
    <row r="891" spans="1:19" x14ac:dyDescent="0.3">
      <c r="A891" t="s">
        <v>2128</v>
      </c>
      <c r="B891" t="s">
        <v>385</v>
      </c>
      <c r="C891" t="s">
        <v>108</v>
      </c>
      <c r="D891" t="s">
        <v>24</v>
      </c>
      <c r="E891">
        <v>26</v>
      </c>
      <c r="F891" t="s">
        <v>2945</v>
      </c>
      <c r="G891" t="s">
        <v>2463</v>
      </c>
      <c r="H891" t="s">
        <v>2123</v>
      </c>
      <c r="I891" t="s">
        <v>235</v>
      </c>
      <c r="J891" t="s">
        <v>880</v>
      </c>
      <c r="K891" t="s">
        <v>71</v>
      </c>
      <c r="L891" s="1">
        <v>42424</v>
      </c>
      <c r="M891" s="2">
        <v>826479</v>
      </c>
      <c r="N891" s="2" t="s">
        <v>2950</v>
      </c>
      <c r="O891" t="s">
        <v>130</v>
      </c>
      <c r="P891" t="s">
        <v>90</v>
      </c>
      <c r="Q891" t="s">
        <v>244</v>
      </c>
      <c r="R891">
        <v>10.199999999999999</v>
      </c>
      <c r="S891" t="s">
        <v>2951</v>
      </c>
    </row>
    <row r="892" spans="1:19" x14ac:dyDescent="0.3">
      <c r="A892" t="s">
        <v>2130</v>
      </c>
      <c r="B892" t="s">
        <v>412</v>
      </c>
      <c r="C892" t="s">
        <v>98</v>
      </c>
      <c r="D892" t="s">
        <v>24</v>
      </c>
      <c r="E892">
        <v>41</v>
      </c>
      <c r="F892" t="s">
        <v>2946</v>
      </c>
      <c r="G892" t="s">
        <v>2125</v>
      </c>
      <c r="H892" t="s">
        <v>2894</v>
      </c>
      <c r="I892" t="s">
        <v>235</v>
      </c>
      <c r="J892" t="s">
        <v>163</v>
      </c>
      <c r="K892" t="s">
        <v>71</v>
      </c>
      <c r="L892" s="1">
        <v>43873</v>
      </c>
      <c r="M892" s="2">
        <v>475811</v>
      </c>
      <c r="N892" s="2" t="s">
        <v>2948</v>
      </c>
      <c r="O892" t="s">
        <v>111</v>
      </c>
      <c r="P892" t="s">
        <v>353</v>
      </c>
      <c r="Q892" t="s">
        <v>65</v>
      </c>
      <c r="R892">
        <v>6.3</v>
      </c>
      <c r="S892" t="s">
        <v>2953</v>
      </c>
    </row>
    <row r="893" spans="1:19" x14ac:dyDescent="0.3">
      <c r="A893" t="s">
        <v>2360</v>
      </c>
      <c r="B893" t="s">
        <v>190</v>
      </c>
      <c r="C893" t="s">
        <v>98</v>
      </c>
      <c r="D893" t="s">
        <v>24</v>
      </c>
      <c r="E893">
        <v>49</v>
      </c>
      <c r="F893" t="s">
        <v>2947</v>
      </c>
      <c r="G893" t="s">
        <v>2464</v>
      </c>
      <c r="H893" t="s">
        <v>2127</v>
      </c>
      <c r="I893" t="s">
        <v>368</v>
      </c>
      <c r="J893" t="s">
        <v>599</v>
      </c>
      <c r="K893" t="s">
        <v>48</v>
      </c>
      <c r="L893" s="1">
        <v>43030</v>
      </c>
      <c r="N893" s="2" t="s">
        <v>2369</v>
      </c>
      <c r="O893" t="s">
        <v>111</v>
      </c>
      <c r="P893" t="s">
        <v>21</v>
      </c>
      <c r="Q893" t="s">
        <v>79</v>
      </c>
      <c r="R893">
        <v>8.6</v>
      </c>
      <c r="S893" t="s">
        <v>2951</v>
      </c>
    </row>
    <row r="894" spans="1:19" x14ac:dyDescent="0.3">
      <c r="A894" t="s">
        <v>2134</v>
      </c>
      <c r="B894" t="s">
        <v>207</v>
      </c>
      <c r="C894" t="s">
        <v>287</v>
      </c>
      <c r="D894" t="s">
        <v>24</v>
      </c>
      <c r="E894">
        <v>29</v>
      </c>
      <c r="F894" t="s">
        <v>2945</v>
      </c>
      <c r="G894" t="s">
        <v>2129</v>
      </c>
      <c r="H894" t="s">
        <v>2895</v>
      </c>
      <c r="I894" t="s">
        <v>53</v>
      </c>
      <c r="J894" t="s">
        <v>390</v>
      </c>
      <c r="K894" t="s">
        <v>28</v>
      </c>
      <c r="L894" s="1">
        <v>43892</v>
      </c>
      <c r="M894" s="2">
        <v>564543</v>
      </c>
      <c r="N894" s="2" t="s">
        <v>2950</v>
      </c>
      <c r="O894" t="s">
        <v>111</v>
      </c>
      <c r="P894" t="s">
        <v>21</v>
      </c>
      <c r="Q894" t="s">
        <v>158</v>
      </c>
      <c r="R894">
        <v>6.3</v>
      </c>
      <c r="S894" t="s">
        <v>2953</v>
      </c>
    </row>
    <row r="895" spans="1:19" x14ac:dyDescent="0.3">
      <c r="A895" t="s">
        <v>2136</v>
      </c>
      <c r="B895" t="s">
        <v>113</v>
      </c>
      <c r="C895" t="s">
        <v>237</v>
      </c>
      <c r="D895" t="s">
        <v>45</v>
      </c>
      <c r="E895">
        <v>38</v>
      </c>
      <c r="F895" t="s">
        <v>2946</v>
      </c>
      <c r="G895" t="s">
        <v>2131</v>
      </c>
      <c r="H895" t="s">
        <v>2369</v>
      </c>
      <c r="I895" t="s">
        <v>592</v>
      </c>
      <c r="J895" t="s">
        <v>765</v>
      </c>
      <c r="K895" t="s">
        <v>48</v>
      </c>
      <c r="L895" s="1">
        <v>43587</v>
      </c>
      <c r="M895" s="2">
        <v>426275</v>
      </c>
      <c r="N895" s="2" t="s">
        <v>2948</v>
      </c>
      <c r="O895" t="s">
        <v>130</v>
      </c>
      <c r="P895" t="s">
        <v>152</v>
      </c>
      <c r="Q895" t="s">
        <v>158</v>
      </c>
      <c r="R895">
        <v>7.3</v>
      </c>
      <c r="S895" t="s">
        <v>2953</v>
      </c>
    </row>
    <row r="896" spans="1:19" x14ac:dyDescent="0.3">
      <c r="A896" t="s">
        <v>2138</v>
      </c>
      <c r="B896" t="s">
        <v>187</v>
      </c>
      <c r="C896" t="s">
        <v>221</v>
      </c>
      <c r="D896" t="s">
        <v>24</v>
      </c>
      <c r="E896">
        <v>41</v>
      </c>
      <c r="F896" t="s">
        <v>2946</v>
      </c>
      <c r="G896" t="s">
        <v>2132</v>
      </c>
      <c r="H896" t="s">
        <v>2133</v>
      </c>
      <c r="I896" t="s">
        <v>235</v>
      </c>
      <c r="J896" t="s">
        <v>1223</v>
      </c>
      <c r="K896" t="s">
        <v>48</v>
      </c>
      <c r="L896" s="1">
        <v>42405</v>
      </c>
      <c r="M896" s="2">
        <v>312322</v>
      </c>
      <c r="N896" s="2" t="s">
        <v>2948</v>
      </c>
      <c r="O896" t="s">
        <v>253</v>
      </c>
      <c r="P896" t="s">
        <v>21</v>
      </c>
      <c r="Q896" t="s">
        <v>244</v>
      </c>
      <c r="R896">
        <v>10.3</v>
      </c>
      <c r="S896" t="s">
        <v>2951</v>
      </c>
    </row>
    <row r="897" spans="1:19" x14ac:dyDescent="0.3">
      <c r="A897" t="s">
        <v>2140</v>
      </c>
      <c r="B897" t="s">
        <v>67</v>
      </c>
      <c r="C897" t="s">
        <v>120</v>
      </c>
      <c r="D897" t="s">
        <v>24</v>
      </c>
      <c r="E897">
        <v>41</v>
      </c>
      <c r="F897" t="s">
        <v>2946</v>
      </c>
      <c r="G897" t="s">
        <v>2135</v>
      </c>
      <c r="H897" t="s">
        <v>2896</v>
      </c>
      <c r="I897" t="s">
        <v>271</v>
      </c>
      <c r="J897" t="s">
        <v>95</v>
      </c>
      <c r="K897" t="s">
        <v>28</v>
      </c>
      <c r="L897" s="1">
        <v>44297</v>
      </c>
      <c r="M897" s="2">
        <v>690551</v>
      </c>
      <c r="N897" s="2" t="s">
        <v>2950</v>
      </c>
      <c r="O897" t="s">
        <v>216</v>
      </c>
      <c r="P897" t="s">
        <v>21</v>
      </c>
      <c r="Q897" t="s">
        <v>65</v>
      </c>
      <c r="R897">
        <v>5.0999999999999996</v>
      </c>
      <c r="S897" t="s">
        <v>2953</v>
      </c>
    </row>
    <row r="898" spans="1:19" x14ac:dyDescent="0.3">
      <c r="A898" t="s">
        <v>2141</v>
      </c>
      <c r="B898" t="s">
        <v>145</v>
      </c>
      <c r="C898" t="s">
        <v>161</v>
      </c>
      <c r="D898" t="s">
        <v>24</v>
      </c>
      <c r="E898">
        <v>58</v>
      </c>
      <c r="F898" t="s">
        <v>2947</v>
      </c>
      <c r="G898" t="s">
        <v>2137</v>
      </c>
      <c r="H898" t="s">
        <v>2897</v>
      </c>
      <c r="I898" t="s">
        <v>517</v>
      </c>
      <c r="J898" t="s">
        <v>151</v>
      </c>
      <c r="K898" t="s">
        <v>48</v>
      </c>
      <c r="L898" s="1">
        <v>44157</v>
      </c>
      <c r="M898" s="2">
        <v>585135</v>
      </c>
      <c r="N898" s="2" t="s">
        <v>2950</v>
      </c>
      <c r="O898" t="s">
        <v>130</v>
      </c>
      <c r="P898" t="s">
        <v>205</v>
      </c>
      <c r="Q898" t="s">
        <v>158</v>
      </c>
      <c r="R898">
        <v>5.5</v>
      </c>
      <c r="S898" t="s">
        <v>2953</v>
      </c>
    </row>
    <row r="899" spans="1:19" x14ac:dyDescent="0.3">
      <c r="A899" t="s">
        <v>2143</v>
      </c>
      <c r="B899" t="s">
        <v>141</v>
      </c>
      <c r="C899" t="s">
        <v>68</v>
      </c>
      <c r="D899" t="s">
        <v>45</v>
      </c>
      <c r="E899">
        <v>45</v>
      </c>
      <c r="F899" t="s">
        <v>2946</v>
      </c>
      <c r="G899" t="s">
        <v>2139</v>
      </c>
      <c r="H899" t="s">
        <v>2898</v>
      </c>
      <c r="I899" t="s">
        <v>517</v>
      </c>
      <c r="J899" t="s">
        <v>284</v>
      </c>
      <c r="K899" t="s">
        <v>71</v>
      </c>
      <c r="L899" s="1">
        <v>42074</v>
      </c>
      <c r="M899" s="2">
        <v>629627</v>
      </c>
      <c r="N899" s="2" t="s">
        <v>2950</v>
      </c>
      <c r="O899" t="s">
        <v>130</v>
      </c>
      <c r="P899" t="s">
        <v>205</v>
      </c>
      <c r="Q899" t="s">
        <v>65</v>
      </c>
      <c r="R899">
        <v>11.2</v>
      </c>
      <c r="S899" t="s">
        <v>2951</v>
      </c>
    </row>
    <row r="900" spans="1:19" x14ac:dyDescent="0.3">
      <c r="A900" t="s">
        <v>2146</v>
      </c>
      <c r="B900" t="s">
        <v>145</v>
      </c>
      <c r="C900" t="s">
        <v>93</v>
      </c>
      <c r="D900" t="s">
        <v>45</v>
      </c>
      <c r="E900">
        <v>43</v>
      </c>
      <c r="F900" t="s">
        <v>2946</v>
      </c>
      <c r="G900" t="s">
        <v>2369</v>
      </c>
      <c r="H900" t="s">
        <v>2899</v>
      </c>
      <c r="I900" t="s">
        <v>485</v>
      </c>
      <c r="J900" t="s">
        <v>185</v>
      </c>
      <c r="K900" t="s">
        <v>35</v>
      </c>
      <c r="L900" s="1">
        <v>44973</v>
      </c>
      <c r="M900" s="2">
        <v>320405</v>
      </c>
      <c r="N900" s="2" t="s">
        <v>2948</v>
      </c>
      <c r="O900" t="s">
        <v>130</v>
      </c>
      <c r="P900" t="s">
        <v>90</v>
      </c>
      <c r="Q900" t="s">
        <v>65</v>
      </c>
      <c r="R900">
        <v>3.2</v>
      </c>
      <c r="S900" t="s">
        <v>2952</v>
      </c>
    </row>
    <row r="901" spans="1:19" x14ac:dyDescent="0.3">
      <c r="A901" t="s">
        <v>2148</v>
      </c>
      <c r="B901" t="s">
        <v>37</v>
      </c>
      <c r="C901" t="s">
        <v>38</v>
      </c>
      <c r="D901" t="s">
        <v>45</v>
      </c>
      <c r="E901">
        <v>54</v>
      </c>
      <c r="F901" t="s">
        <v>2947</v>
      </c>
      <c r="G901" t="s">
        <v>2142</v>
      </c>
      <c r="H901" t="s">
        <v>2900</v>
      </c>
      <c r="I901" t="s">
        <v>271</v>
      </c>
      <c r="J901" t="s">
        <v>143</v>
      </c>
      <c r="K901" t="s">
        <v>48</v>
      </c>
      <c r="L901" s="1">
        <v>43701</v>
      </c>
      <c r="M901" s="2">
        <v>422222</v>
      </c>
      <c r="N901" s="2" t="s">
        <v>2948</v>
      </c>
      <c r="O901" t="s">
        <v>216</v>
      </c>
      <c r="P901" t="s">
        <v>21</v>
      </c>
      <c r="Q901" t="s">
        <v>65</v>
      </c>
      <c r="R901">
        <v>6.7</v>
      </c>
      <c r="S901" t="s">
        <v>2953</v>
      </c>
    </row>
    <row r="902" spans="1:19" x14ac:dyDescent="0.3">
      <c r="A902" t="s">
        <v>2150</v>
      </c>
      <c r="B902" t="s">
        <v>207</v>
      </c>
      <c r="C902" t="s">
        <v>249</v>
      </c>
      <c r="D902" t="s">
        <v>24</v>
      </c>
      <c r="E902">
        <v>56</v>
      </c>
      <c r="F902" t="s">
        <v>2947</v>
      </c>
      <c r="G902" t="s">
        <v>2144</v>
      </c>
      <c r="H902" t="s">
        <v>2145</v>
      </c>
      <c r="I902" t="s">
        <v>485</v>
      </c>
      <c r="J902" t="s">
        <v>676</v>
      </c>
      <c r="K902" t="s">
        <v>28</v>
      </c>
      <c r="L902" s="1">
        <v>44555</v>
      </c>
      <c r="M902" s="2">
        <v>3862990</v>
      </c>
      <c r="N902" s="2" t="s">
        <v>2950</v>
      </c>
      <c r="O902" t="s">
        <v>130</v>
      </c>
      <c r="P902" t="s">
        <v>353</v>
      </c>
      <c r="Q902" t="s">
        <v>72</v>
      </c>
      <c r="R902">
        <v>4.4000000000000004</v>
      </c>
      <c r="S902" t="s">
        <v>2952</v>
      </c>
    </row>
    <row r="903" spans="1:19" x14ac:dyDescent="0.3">
      <c r="A903" t="s">
        <v>2152</v>
      </c>
      <c r="B903" t="s">
        <v>119</v>
      </c>
      <c r="C903" t="s">
        <v>149</v>
      </c>
      <c r="D903" t="s">
        <v>24</v>
      </c>
      <c r="E903">
        <v>38</v>
      </c>
      <c r="F903" t="s">
        <v>2946</v>
      </c>
      <c r="G903" t="s">
        <v>2147</v>
      </c>
      <c r="H903" t="s">
        <v>2901</v>
      </c>
      <c r="I903" t="s">
        <v>209</v>
      </c>
      <c r="J903" t="s">
        <v>383</v>
      </c>
      <c r="K903" t="s">
        <v>28</v>
      </c>
      <c r="L903" s="1">
        <v>42782</v>
      </c>
      <c r="M903" s="2">
        <v>783492</v>
      </c>
      <c r="N903" s="2" t="s">
        <v>2950</v>
      </c>
      <c r="O903" t="s">
        <v>41</v>
      </c>
      <c r="P903" t="s">
        <v>353</v>
      </c>
      <c r="Q903" t="s">
        <v>65</v>
      </c>
      <c r="R903">
        <v>9.1999999999999993</v>
      </c>
      <c r="S903" t="s">
        <v>2951</v>
      </c>
    </row>
    <row r="904" spans="1:19" x14ac:dyDescent="0.3">
      <c r="A904" t="s">
        <v>2153</v>
      </c>
      <c r="B904" t="s">
        <v>281</v>
      </c>
      <c r="C904" t="s">
        <v>273</v>
      </c>
      <c r="D904" t="s">
        <v>24</v>
      </c>
      <c r="E904">
        <v>24</v>
      </c>
      <c r="F904" t="s">
        <v>2945</v>
      </c>
      <c r="G904" t="s">
        <v>2149</v>
      </c>
      <c r="H904" t="s">
        <v>2902</v>
      </c>
      <c r="I904" t="s">
        <v>271</v>
      </c>
      <c r="J904" t="s">
        <v>524</v>
      </c>
      <c r="K904" t="s">
        <v>71</v>
      </c>
      <c r="L904" s="1">
        <v>42946</v>
      </c>
      <c r="M904" s="2">
        <v>509667</v>
      </c>
      <c r="N904" s="2" t="s">
        <v>2950</v>
      </c>
      <c r="O904" t="s">
        <v>111</v>
      </c>
      <c r="P904" t="s">
        <v>353</v>
      </c>
      <c r="Q904" t="s">
        <v>79</v>
      </c>
      <c r="R904">
        <v>8.8000000000000007</v>
      </c>
      <c r="S904" t="s">
        <v>2951</v>
      </c>
    </row>
    <row r="905" spans="1:19" x14ac:dyDescent="0.3">
      <c r="A905" t="s">
        <v>2154</v>
      </c>
      <c r="B905" t="s">
        <v>61</v>
      </c>
      <c r="C905" t="s">
        <v>141</v>
      </c>
      <c r="D905" t="s">
        <v>45</v>
      </c>
      <c r="E905">
        <v>48</v>
      </c>
      <c r="F905" t="s">
        <v>2947</v>
      </c>
      <c r="G905" t="s">
        <v>2151</v>
      </c>
      <c r="H905" t="s">
        <v>2369</v>
      </c>
      <c r="I905" t="s">
        <v>517</v>
      </c>
      <c r="J905" t="s">
        <v>151</v>
      </c>
      <c r="K905" t="s">
        <v>35</v>
      </c>
      <c r="L905" s="1">
        <v>42798</v>
      </c>
      <c r="M905" s="2">
        <v>6975.62</v>
      </c>
      <c r="N905" s="2" t="s">
        <v>2949</v>
      </c>
      <c r="O905" t="s">
        <v>198</v>
      </c>
      <c r="P905" t="s">
        <v>90</v>
      </c>
      <c r="Q905" t="s">
        <v>72</v>
      </c>
      <c r="R905">
        <v>9.1999999999999993</v>
      </c>
      <c r="S905" t="s">
        <v>2951</v>
      </c>
    </row>
    <row r="906" spans="1:19" x14ac:dyDescent="0.3">
      <c r="A906" t="s">
        <v>2361</v>
      </c>
      <c r="B906" t="s">
        <v>127</v>
      </c>
      <c r="C906" t="s">
        <v>318</v>
      </c>
      <c r="D906" t="s">
        <v>24</v>
      </c>
      <c r="E906">
        <v>24</v>
      </c>
      <c r="F906" t="s">
        <v>2945</v>
      </c>
      <c r="G906" t="s">
        <v>2465</v>
      </c>
      <c r="H906" t="s">
        <v>2369</v>
      </c>
      <c r="I906" t="s">
        <v>517</v>
      </c>
      <c r="J906" t="s">
        <v>295</v>
      </c>
      <c r="K906" t="s">
        <v>71</v>
      </c>
      <c r="L906" s="1">
        <v>42204</v>
      </c>
      <c r="M906" s="2">
        <v>799764</v>
      </c>
      <c r="N906" s="2" t="s">
        <v>2950</v>
      </c>
      <c r="O906" t="s">
        <v>253</v>
      </c>
      <c r="P906" t="s">
        <v>353</v>
      </c>
      <c r="Q906" t="s">
        <v>79</v>
      </c>
      <c r="R906">
        <v>10.8</v>
      </c>
      <c r="S906" t="s">
        <v>2951</v>
      </c>
    </row>
    <row r="907" spans="1:19" x14ac:dyDescent="0.3">
      <c r="A907" t="s">
        <v>2157</v>
      </c>
      <c r="B907" t="s">
        <v>85</v>
      </c>
      <c r="C907" t="s">
        <v>82</v>
      </c>
      <c r="D907" t="s">
        <v>45</v>
      </c>
      <c r="E907">
        <v>26</v>
      </c>
      <c r="F907" t="s">
        <v>2945</v>
      </c>
      <c r="G907" t="s">
        <v>2369</v>
      </c>
      <c r="H907" t="s">
        <v>2903</v>
      </c>
      <c r="I907" t="s">
        <v>53</v>
      </c>
      <c r="J907" t="s">
        <v>316</v>
      </c>
      <c r="K907" t="s">
        <v>35</v>
      </c>
      <c r="L907" s="1">
        <v>43553</v>
      </c>
      <c r="M907" s="2">
        <v>601992</v>
      </c>
      <c r="N907" s="2" t="s">
        <v>2950</v>
      </c>
      <c r="O907" t="s">
        <v>41</v>
      </c>
      <c r="P907" t="s">
        <v>21</v>
      </c>
      <c r="Q907" t="s">
        <v>244</v>
      </c>
      <c r="R907">
        <v>7.1</v>
      </c>
      <c r="S907" t="s">
        <v>2953</v>
      </c>
    </row>
    <row r="908" spans="1:19" x14ac:dyDescent="0.3">
      <c r="A908" t="s">
        <v>2159</v>
      </c>
      <c r="B908" t="s">
        <v>281</v>
      </c>
      <c r="C908" t="s">
        <v>98</v>
      </c>
      <c r="D908" t="s">
        <v>24</v>
      </c>
      <c r="E908">
        <v>46</v>
      </c>
      <c r="F908" t="s">
        <v>2947</v>
      </c>
      <c r="G908" t="s">
        <v>2155</v>
      </c>
      <c r="H908" t="s">
        <v>2904</v>
      </c>
      <c r="I908" t="s">
        <v>592</v>
      </c>
      <c r="K908" t="s">
        <v>35</v>
      </c>
      <c r="L908" s="1">
        <v>42153</v>
      </c>
      <c r="M908" s="2">
        <v>743493</v>
      </c>
      <c r="N908" s="2" t="s">
        <v>2950</v>
      </c>
      <c r="O908" t="s">
        <v>253</v>
      </c>
      <c r="P908" t="s">
        <v>152</v>
      </c>
      <c r="Q908" t="s">
        <v>79</v>
      </c>
      <c r="R908">
        <v>11</v>
      </c>
      <c r="S908" t="s">
        <v>2951</v>
      </c>
    </row>
    <row r="909" spans="1:19" x14ac:dyDescent="0.3">
      <c r="A909" t="s">
        <v>2161</v>
      </c>
      <c r="B909" t="s">
        <v>347</v>
      </c>
      <c r="C909" t="s">
        <v>133</v>
      </c>
      <c r="D909" t="s">
        <v>24</v>
      </c>
      <c r="F909" t="s">
        <v>2369</v>
      </c>
      <c r="G909" t="s">
        <v>2156</v>
      </c>
      <c r="H909" t="s">
        <v>2905</v>
      </c>
      <c r="I909" t="s">
        <v>235</v>
      </c>
      <c r="J909" t="s">
        <v>59</v>
      </c>
      <c r="K909" t="s">
        <v>48</v>
      </c>
      <c r="L909" s="1">
        <v>43929</v>
      </c>
      <c r="M909" s="2">
        <v>614097</v>
      </c>
      <c r="N909" s="2" t="s">
        <v>2950</v>
      </c>
      <c r="O909" t="s">
        <v>253</v>
      </c>
      <c r="P909" t="s">
        <v>353</v>
      </c>
      <c r="Q909" t="s">
        <v>79</v>
      </c>
      <c r="R909">
        <v>6.1</v>
      </c>
      <c r="S909" t="s">
        <v>2953</v>
      </c>
    </row>
    <row r="910" spans="1:19" x14ac:dyDescent="0.3">
      <c r="A910" t="s">
        <v>2162</v>
      </c>
      <c r="B910" t="s">
        <v>37</v>
      </c>
      <c r="C910" t="s">
        <v>273</v>
      </c>
      <c r="D910" t="s">
        <v>24</v>
      </c>
      <c r="E910">
        <v>34</v>
      </c>
      <c r="F910" t="s">
        <v>2946</v>
      </c>
      <c r="G910" t="s">
        <v>2158</v>
      </c>
      <c r="H910" t="s">
        <v>2906</v>
      </c>
      <c r="I910" t="s">
        <v>485</v>
      </c>
      <c r="J910" t="s">
        <v>613</v>
      </c>
      <c r="K910" t="s">
        <v>48</v>
      </c>
      <c r="L910" s="1">
        <v>43911</v>
      </c>
      <c r="M910" s="2">
        <v>147260</v>
      </c>
      <c r="N910" s="2" t="s">
        <v>2949</v>
      </c>
      <c r="O910" t="s">
        <v>253</v>
      </c>
      <c r="P910" t="s">
        <v>152</v>
      </c>
      <c r="Q910" t="s">
        <v>72</v>
      </c>
      <c r="R910">
        <v>6.1</v>
      </c>
      <c r="S910" t="s">
        <v>2953</v>
      </c>
    </row>
    <row r="911" spans="1:19" x14ac:dyDescent="0.3">
      <c r="A911" t="s">
        <v>2165</v>
      </c>
      <c r="B911" t="s">
        <v>377</v>
      </c>
      <c r="C911" t="s">
        <v>114</v>
      </c>
      <c r="D911" t="s">
        <v>24</v>
      </c>
      <c r="E911">
        <v>40</v>
      </c>
      <c r="F911" t="s">
        <v>2946</v>
      </c>
      <c r="G911" t="s">
        <v>2160</v>
      </c>
      <c r="H911" t="s">
        <v>2369</v>
      </c>
      <c r="I911" t="s">
        <v>485</v>
      </c>
      <c r="J911" t="s">
        <v>262</v>
      </c>
      <c r="K911" t="s">
        <v>28</v>
      </c>
      <c r="L911" s="1">
        <v>43888</v>
      </c>
      <c r="M911" s="2">
        <v>528606</v>
      </c>
      <c r="N911" s="2" t="s">
        <v>2950</v>
      </c>
      <c r="O911" t="s">
        <v>111</v>
      </c>
      <c r="P911" t="s">
        <v>353</v>
      </c>
      <c r="Q911" t="s">
        <v>65</v>
      </c>
      <c r="R911">
        <v>6.2</v>
      </c>
      <c r="S911" t="s">
        <v>2953</v>
      </c>
    </row>
    <row r="912" spans="1:19" x14ac:dyDescent="0.3">
      <c r="A912" t="s">
        <v>2168</v>
      </c>
      <c r="B912" t="s">
        <v>286</v>
      </c>
      <c r="C912" t="s">
        <v>264</v>
      </c>
      <c r="D912" t="s">
        <v>24</v>
      </c>
      <c r="E912">
        <v>52</v>
      </c>
      <c r="F912" t="s">
        <v>2947</v>
      </c>
      <c r="G912" t="s">
        <v>2392</v>
      </c>
      <c r="H912" t="s">
        <v>2907</v>
      </c>
      <c r="I912" t="s">
        <v>485</v>
      </c>
      <c r="J912" t="s">
        <v>262</v>
      </c>
      <c r="K912" t="s">
        <v>71</v>
      </c>
      <c r="L912" s="1">
        <v>43386</v>
      </c>
      <c r="M912" s="2">
        <v>837561</v>
      </c>
      <c r="N912" s="2" t="s">
        <v>2950</v>
      </c>
      <c r="O912" t="s">
        <v>198</v>
      </c>
      <c r="P912" t="s">
        <v>90</v>
      </c>
      <c r="Q912" t="s">
        <v>244</v>
      </c>
      <c r="R912">
        <v>7.6</v>
      </c>
      <c r="S912" t="s">
        <v>2953</v>
      </c>
    </row>
    <row r="913" spans="1:19" x14ac:dyDescent="0.3">
      <c r="A913" t="s">
        <v>940</v>
      </c>
      <c r="B913" t="s">
        <v>301</v>
      </c>
      <c r="C913" t="s">
        <v>200</v>
      </c>
      <c r="D913" t="s">
        <v>24</v>
      </c>
      <c r="F913" t="s">
        <v>2369</v>
      </c>
      <c r="G913" t="s">
        <v>2163</v>
      </c>
      <c r="H913" t="s">
        <v>2164</v>
      </c>
      <c r="I913" t="s">
        <v>100</v>
      </c>
      <c r="J913" t="s">
        <v>948</v>
      </c>
      <c r="K913" t="s">
        <v>48</v>
      </c>
      <c r="M913" s="2">
        <v>678524</v>
      </c>
      <c r="N913" s="2" t="s">
        <v>2950</v>
      </c>
      <c r="O913" t="s">
        <v>111</v>
      </c>
      <c r="P913" t="s">
        <v>90</v>
      </c>
      <c r="Q913" t="s">
        <v>72</v>
      </c>
      <c r="R913">
        <v>10.3</v>
      </c>
      <c r="S913" t="s">
        <v>2951</v>
      </c>
    </row>
    <row r="914" spans="1:19" x14ac:dyDescent="0.3">
      <c r="A914" t="s">
        <v>2170</v>
      </c>
      <c r="B914" t="s">
        <v>61</v>
      </c>
      <c r="C914" t="s">
        <v>348</v>
      </c>
      <c r="D914" t="s">
        <v>24</v>
      </c>
      <c r="E914">
        <v>56</v>
      </c>
      <c r="F914" t="s">
        <v>2947</v>
      </c>
      <c r="G914" t="s">
        <v>2166</v>
      </c>
      <c r="H914" t="s">
        <v>2167</v>
      </c>
      <c r="I914" t="s">
        <v>209</v>
      </c>
      <c r="J914" t="s">
        <v>383</v>
      </c>
      <c r="K914" t="s">
        <v>48</v>
      </c>
      <c r="L914" s="1">
        <v>43834</v>
      </c>
      <c r="M914" s="2">
        <v>687725</v>
      </c>
      <c r="N914" s="2" t="s">
        <v>2950</v>
      </c>
      <c r="O914" t="s">
        <v>111</v>
      </c>
      <c r="P914" t="s">
        <v>353</v>
      </c>
      <c r="Q914" t="s">
        <v>244</v>
      </c>
      <c r="R914">
        <v>6.4</v>
      </c>
      <c r="S914" t="s">
        <v>2953</v>
      </c>
    </row>
    <row r="915" spans="1:19" x14ac:dyDescent="0.3">
      <c r="A915" t="s">
        <v>2173</v>
      </c>
      <c r="B915" t="s">
        <v>160</v>
      </c>
      <c r="C915" t="s">
        <v>249</v>
      </c>
      <c r="D915" t="s">
        <v>24</v>
      </c>
      <c r="E915">
        <v>23</v>
      </c>
      <c r="F915" t="s">
        <v>2945</v>
      </c>
      <c r="G915" t="s">
        <v>2169</v>
      </c>
      <c r="H915" t="s">
        <v>2908</v>
      </c>
      <c r="I915" t="s">
        <v>235</v>
      </c>
      <c r="J915" t="s">
        <v>1223</v>
      </c>
      <c r="K915" t="s">
        <v>71</v>
      </c>
      <c r="L915" s="1">
        <v>42833</v>
      </c>
      <c r="M915" s="2">
        <v>335943</v>
      </c>
      <c r="N915" s="2" t="s">
        <v>2948</v>
      </c>
      <c r="O915" t="s">
        <v>253</v>
      </c>
      <c r="P915" t="s">
        <v>353</v>
      </c>
      <c r="Q915" t="s">
        <v>65</v>
      </c>
      <c r="R915">
        <v>9.1</v>
      </c>
      <c r="S915" t="s">
        <v>2951</v>
      </c>
    </row>
    <row r="916" spans="1:19" x14ac:dyDescent="0.3">
      <c r="A916" t="s">
        <v>2174</v>
      </c>
      <c r="B916" t="s">
        <v>145</v>
      </c>
      <c r="C916" t="s">
        <v>155</v>
      </c>
      <c r="D916" t="s">
        <v>24</v>
      </c>
      <c r="E916">
        <v>46</v>
      </c>
      <c r="F916" t="s">
        <v>2947</v>
      </c>
      <c r="G916" t="s">
        <v>2171</v>
      </c>
      <c r="H916" t="s">
        <v>2172</v>
      </c>
      <c r="I916" t="s">
        <v>394</v>
      </c>
      <c r="J916" t="s">
        <v>243</v>
      </c>
      <c r="K916" t="s">
        <v>71</v>
      </c>
      <c r="L916" s="1">
        <v>42102</v>
      </c>
      <c r="N916" s="2" t="s">
        <v>2369</v>
      </c>
      <c r="O916" t="s">
        <v>216</v>
      </c>
      <c r="P916" t="s">
        <v>152</v>
      </c>
      <c r="Q916" t="s">
        <v>65</v>
      </c>
      <c r="R916">
        <v>11.1</v>
      </c>
      <c r="S916" t="s">
        <v>2951</v>
      </c>
    </row>
    <row r="917" spans="1:19" x14ac:dyDescent="0.3">
      <c r="A917" t="s">
        <v>2177</v>
      </c>
      <c r="B917" t="s">
        <v>286</v>
      </c>
      <c r="C917" t="s">
        <v>62</v>
      </c>
      <c r="D917" t="s">
        <v>24</v>
      </c>
      <c r="E917">
        <v>34</v>
      </c>
      <c r="F917" t="s">
        <v>2946</v>
      </c>
      <c r="G917" t="s">
        <v>392</v>
      </c>
      <c r="H917" t="s">
        <v>2909</v>
      </c>
      <c r="I917" t="s">
        <v>394</v>
      </c>
      <c r="J917" t="s">
        <v>395</v>
      </c>
      <c r="K917" t="s">
        <v>48</v>
      </c>
      <c r="L917" s="1">
        <v>42963</v>
      </c>
      <c r="M917" s="2">
        <v>313177</v>
      </c>
      <c r="N917" s="2" t="s">
        <v>2948</v>
      </c>
      <c r="O917" t="s">
        <v>130</v>
      </c>
      <c r="P917" t="s">
        <v>152</v>
      </c>
      <c r="Q917" t="s">
        <v>72</v>
      </c>
      <c r="R917">
        <v>8.6999999999999993</v>
      </c>
      <c r="S917" t="s">
        <v>2951</v>
      </c>
    </row>
    <row r="918" spans="1:19" x14ac:dyDescent="0.3">
      <c r="A918" t="s">
        <v>2178</v>
      </c>
      <c r="B918" t="s">
        <v>56</v>
      </c>
      <c r="C918" t="s">
        <v>86</v>
      </c>
      <c r="D918" t="s">
        <v>45</v>
      </c>
      <c r="E918">
        <v>25</v>
      </c>
      <c r="F918" t="s">
        <v>2945</v>
      </c>
      <c r="G918" t="s">
        <v>2175</v>
      </c>
      <c r="H918" t="s">
        <v>2176</v>
      </c>
      <c r="I918" t="s">
        <v>100</v>
      </c>
      <c r="J918" t="s">
        <v>421</v>
      </c>
      <c r="K918" t="s">
        <v>48</v>
      </c>
      <c r="L918" s="1">
        <v>43346</v>
      </c>
      <c r="M918" s="2">
        <v>876124</v>
      </c>
      <c r="N918" s="2" t="s">
        <v>2950</v>
      </c>
      <c r="O918" t="s">
        <v>111</v>
      </c>
      <c r="P918" t="s">
        <v>353</v>
      </c>
      <c r="Q918" t="s">
        <v>65</v>
      </c>
      <c r="R918">
        <v>7.7</v>
      </c>
      <c r="S918" t="s">
        <v>2953</v>
      </c>
    </row>
    <row r="919" spans="1:19" x14ac:dyDescent="0.3">
      <c r="A919" t="s">
        <v>2181</v>
      </c>
      <c r="B919" t="s">
        <v>119</v>
      </c>
      <c r="C919" t="s">
        <v>516</v>
      </c>
      <c r="D919" t="s">
        <v>24</v>
      </c>
      <c r="E919">
        <v>55</v>
      </c>
      <c r="F919" t="s">
        <v>2947</v>
      </c>
      <c r="G919" t="s">
        <v>2028</v>
      </c>
      <c r="H919" t="s">
        <v>2910</v>
      </c>
      <c r="I919" t="s">
        <v>53</v>
      </c>
      <c r="J919" t="s">
        <v>390</v>
      </c>
      <c r="K919" t="s">
        <v>35</v>
      </c>
      <c r="L919" s="1">
        <v>42925</v>
      </c>
      <c r="M919" s="2">
        <v>107578</v>
      </c>
      <c r="N919" s="2" t="s">
        <v>2949</v>
      </c>
      <c r="O919" t="s">
        <v>216</v>
      </c>
      <c r="P919" t="s">
        <v>353</v>
      </c>
      <c r="Q919" t="s">
        <v>158</v>
      </c>
      <c r="R919">
        <v>8.8000000000000007</v>
      </c>
      <c r="S919" t="s">
        <v>2951</v>
      </c>
    </row>
    <row r="920" spans="1:19" x14ac:dyDescent="0.3">
      <c r="A920" t="s">
        <v>2183</v>
      </c>
      <c r="B920" t="s">
        <v>347</v>
      </c>
      <c r="C920" t="s">
        <v>31</v>
      </c>
      <c r="D920" t="s">
        <v>24</v>
      </c>
      <c r="F920" t="s">
        <v>2369</v>
      </c>
      <c r="G920" t="s">
        <v>2179</v>
      </c>
      <c r="H920" t="s">
        <v>2180</v>
      </c>
      <c r="I920" t="s">
        <v>394</v>
      </c>
      <c r="J920" t="s">
        <v>332</v>
      </c>
      <c r="K920" t="s">
        <v>35</v>
      </c>
      <c r="L920" s="1">
        <v>42279</v>
      </c>
      <c r="M920" s="2">
        <v>1109980</v>
      </c>
      <c r="N920" s="2" t="s">
        <v>2950</v>
      </c>
      <c r="O920" t="s">
        <v>130</v>
      </c>
      <c r="P920" t="s">
        <v>205</v>
      </c>
      <c r="Q920" t="s">
        <v>244</v>
      </c>
      <c r="R920">
        <v>11.3</v>
      </c>
      <c r="S920" t="s">
        <v>2951</v>
      </c>
    </row>
    <row r="921" spans="1:19" x14ac:dyDescent="0.3">
      <c r="A921" t="s">
        <v>2186</v>
      </c>
      <c r="B921" t="s">
        <v>103</v>
      </c>
      <c r="C921" t="s">
        <v>314</v>
      </c>
      <c r="D921" t="s">
        <v>45</v>
      </c>
      <c r="E921">
        <v>37</v>
      </c>
      <c r="F921" t="s">
        <v>2946</v>
      </c>
      <c r="G921" t="s">
        <v>2182</v>
      </c>
      <c r="H921" t="s">
        <v>2369</v>
      </c>
      <c r="I921" t="s">
        <v>394</v>
      </c>
      <c r="J921" t="s">
        <v>727</v>
      </c>
      <c r="K921" t="s">
        <v>71</v>
      </c>
      <c r="L921" s="1">
        <v>42889</v>
      </c>
      <c r="M921" s="2">
        <v>689080</v>
      </c>
      <c r="N921" s="2" t="s">
        <v>2950</v>
      </c>
      <c r="O921" t="s">
        <v>130</v>
      </c>
      <c r="P921" t="s">
        <v>90</v>
      </c>
      <c r="Q921" t="s">
        <v>72</v>
      </c>
      <c r="R921">
        <v>8.9</v>
      </c>
      <c r="S921" t="s">
        <v>2951</v>
      </c>
    </row>
    <row r="922" spans="1:19" x14ac:dyDescent="0.3">
      <c r="A922" t="s">
        <v>2188</v>
      </c>
      <c r="B922" t="s">
        <v>81</v>
      </c>
      <c r="C922" t="s">
        <v>516</v>
      </c>
      <c r="D922" t="s">
        <v>24</v>
      </c>
      <c r="E922">
        <v>24</v>
      </c>
      <c r="F922" t="s">
        <v>2945</v>
      </c>
      <c r="G922" t="s">
        <v>2184</v>
      </c>
      <c r="H922" t="s">
        <v>2185</v>
      </c>
      <c r="I922" t="s">
        <v>235</v>
      </c>
      <c r="J922" t="s">
        <v>528</v>
      </c>
      <c r="K922" t="s">
        <v>48</v>
      </c>
      <c r="L922" s="1">
        <v>44864</v>
      </c>
      <c r="M922" s="2">
        <v>496422</v>
      </c>
      <c r="N922" s="2" t="s">
        <v>2948</v>
      </c>
      <c r="O922" t="s">
        <v>41</v>
      </c>
      <c r="P922" t="s">
        <v>353</v>
      </c>
      <c r="Q922" t="s">
        <v>244</v>
      </c>
      <c r="R922">
        <v>3.5</v>
      </c>
      <c r="S922" t="s">
        <v>2952</v>
      </c>
    </row>
    <row r="923" spans="1:19" x14ac:dyDescent="0.3">
      <c r="A923" t="s">
        <v>2190</v>
      </c>
      <c r="B923" t="s">
        <v>286</v>
      </c>
      <c r="C923" t="s">
        <v>133</v>
      </c>
      <c r="D923" t="s">
        <v>24</v>
      </c>
      <c r="E923">
        <v>34</v>
      </c>
      <c r="F923" t="s">
        <v>2946</v>
      </c>
      <c r="G923" t="s">
        <v>2466</v>
      </c>
      <c r="H923" t="s">
        <v>2187</v>
      </c>
      <c r="I923" t="s">
        <v>209</v>
      </c>
      <c r="J923" t="s">
        <v>166</v>
      </c>
      <c r="K923" t="s">
        <v>35</v>
      </c>
      <c r="L923" s="1">
        <v>42133</v>
      </c>
      <c r="M923" s="2">
        <v>775545</v>
      </c>
      <c r="N923" s="2" t="s">
        <v>2950</v>
      </c>
      <c r="O923" t="s">
        <v>41</v>
      </c>
      <c r="P923" t="s">
        <v>152</v>
      </c>
      <c r="Q923" t="s">
        <v>158</v>
      </c>
      <c r="R923">
        <v>11</v>
      </c>
      <c r="S923" t="s">
        <v>2951</v>
      </c>
    </row>
    <row r="924" spans="1:19" x14ac:dyDescent="0.3">
      <c r="A924" t="s">
        <v>2191</v>
      </c>
      <c r="B924" t="s">
        <v>377</v>
      </c>
      <c r="C924" t="s">
        <v>120</v>
      </c>
      <c r="D924" t="s">
        <v>24</v>
      </c>
      <c r="E924">
        <v>24</v>
      </c>
      <c r="F924" t="s">
        <v>2945</v>
      </c>
      <c r="G924" t="s">
        <v>2189</v>
      </c>
      <c r="H924" t="s">
        <v>2369</v>
      </c>
      <c r="I924" t="s">
        <v>235</v>
      </c>
      <c r="J924" t="s">
        <v>89</v>
      </c>
      <c r="K924" t="s">
        <v>48</v>
      </c>
      <c r="L924" s="1">
        <v>42292</v>
      </c>
      <c r="M924" s="2">
        <v>204481</v>
      </c>
      <c r="N924" s="2" t="s">
        <v>2948</v>
      </c>
      <c r="O924" t="s">
        <v>111</v>
      </c>
      <c r="P924" t="s">
        <v>353</v>
      </c>
      <c r="Q924" t="s">
        <v>244</v>
      </c>
      <c r="R924">
        <v>10.6</v>
      </c>
      <c r="S924" t="s">
        <v>2951</v>
      </c>
    </row>
    <row r="925" spans="1:19" x14ac:dyDescent="0.3">
      <c r="A925" t="s">
        <v>2193</v>
      </c>
      <c r="B925" t="s">
        <v>385</v>
      </c>
      <c r="C925" t="s">
        <v>98</v>
      </c>
      <c r="D925" t="s">
        <v>45</v>
      </c>
      <c r="E925">
        <v>51</v>
      </c>
      <c r="F925" t="s">
        <v>2947</v>
      </c>
      <c r="G925" t="s">
        <v>2369</v>
      </c>
      <c r="H925" t="s">
        <v>2911</v>
      </c>
      <c r="I925" t="s">
        <v>235</v>
      </c>
      <c r="J925" t="s">
        <v>445</v>
      </c>
      <c r="K925" t="s">
        <v>48</v>
      </c>
      <c r="L925" s="1">
        <v>43144</v>
      </c>
      <c r="M925" s="2">
        <v>304924</v>
      </c>
      <c r="N925" s="2" t="s">
        <v>2948</v>
      </c>
      <c r="O925" t="s">
        <v>130</v>
      </c>
      <c r="P925" t="s">
        <v>21</v>
      </c>
      <c r="Q925" t="s">
        <v>158</v>
      </c>
      <c r="R925">
        <v>8.1999999999999993</v>
      </c>
      <c r="S925" t="s">
        <v>2951</v>
      </c>
    </row>
    <row r="926" spans="1:19" x14ac:dyDescent="0.3">
      <c r="A926" t="s">
        <v>2362</v>
      </c>
      <c r="B926" t="s">
        <v>103</v>
      </c>
      <c r="C926" t="s">
        <v>120</v>
      </c>
      <c r="D926" t="s">
        <v>24</v>
      </c>
      <c r="E926">
        <v>57</v>
      </c>
      <c r="F926" t="s">
        <v>2947</v>
      </c>
      <c r="G926" t="s">
        <v>2192</v>
      </c>
      <c r="H926" t="s">
        <v>2912</v>
      </c>
      <c r="I926" t="s">
        <v>53</v>
      </c>
      <c r="J926" t="s">
        <v>712</v>
      </c>
      <c r="K926" t="s">
        <v>28</v>
      </c>
      <c r="L926" s="1">
        <v>42727</v>
      </c>
      <c r="M926" s="2">
        <v>848581</v>
      </c>
      <c r="N926" s="2" t="s">
        <v>2950</v>
      </c>
      <c r="O926" t="s">
        <v>216</v>
      </c>
      <c r="P926" t="s">
        <v>353</v>
      </c>
      <c r="Q926" t="s">
        <v>244</v>
      </c>
      <c r="R926">
        <v>9.4</v>
      </c>
      <c r="S926" t="s">
        <v>2951</v>
      </c>
    </row>
    <row r="927" spans="1:19" x14ac:dyDescent="0.3">
      <c r="A927" t="s">
        <v>2199</v>
      </c>
      <c r="B927" t="s">
        <v>359</v>
      </c>
      <c r="C927" t="s">
        <v>200</v>
      </c>
      <c r="D927" t="s">
        <v>24</v>
      </c>
      <c r="E927">
        <v>44</v>
      </c>
      <c r="F927" t="s">
        <v>2946</v>
      </c>
      <c r="G927" t="s">
        <v>2467</v>
      </c>
      <c r="H927" t="s">
        <v>2913</v>
      </c>
      <c r="I927" t="s">
        <v>485</v>
      </c>
      <c r="J927" t="s">
        <v>257</v>
      </c>
      <c r="K927" t="s">
        <v>28</v>
      </c>
      <c r="L927" s="1">
        <v>44855</v>
      </c>
      <c r="M927" s="2">
        <v>229815</v>
      </c>
      <c r="N927" s="2" t="s">
        <v>2948</v>
      </c>
      <c r="O927" t="s">
        <v>198</v>
      </c>
      <c r="P927" t="s">
        <v>205</v>
      </c>
      <c r="Q927" t="s">
        <v>65</v>
      </c>
      <c r="R927">
        <v>3.6</v>
      </c>
      <c r="S927" t="s">
        <v>2952</v>
      </c>
    </row>
    <row r="928" spans="1:19" x14ac:dyDescent="0.3">
      <c r="A928" t="s">
        <v>2201</v>
      </c>
      <c r="B928" t="s">
        <v>348</v>
      </c>
      <c r="C928" t="s">
        <v>31</v>
      </c>
      <c r="D928" t="s">
        <v>45</v>
      </c>
      <c r="E928">
        <v>47</v>
      </c>
      <c r="F928" t="s">
        <v>2947</v>
      </c>
      <c r="G928" t="s">
        <v>2195</v>
      </c>
      <c r="H928" t="s">
        <v>2196</v>
      </c>
      <c r="I928" t="s">
        <v>209</v>
      </c>
      <c r="J928" t="s">
        <v>1803</v>
      </c>
      <c r="K928" t="s">
        <v>71</v>
      </c>
      <c r="L928" s="1">
        <v>44490</v>
      </c>
      <c r="M928" s="2">
        <v>314605</v>
      </c>
      <c r="N928" s="2" t="s">
        <v>2948</v>
      </c>
      <c r="O928" t="s">
        <v>111</v>
      </c>
      <c r="P928" t="s">
        <v>90</v>
      </c>
      <c r="Q928" t="s">
        <v>158</v>
      </c>
      <c r="R928">
        <v>4.5999999999999996</v>
      </c>
      <c r="S928" t="s">
        <v>2952</v>
      </c>
    </row>
    <row r="929" spans="1:19" x14ac:dyDescent="0.3">
      <c r="A929" t="s">
        <v>2204</v>
      </c>
      <c r="B929" t="s">
        <v>310</v>
      </c>
      <c r="C929" t="s">
        <v>98</v>
      </c>
      <c r="D929" t="s">
        <v>24</v>
      </c>
      <c r="E929">
        <v>42</v>
      </c>
      <c r="F929" t="s">
        <v>2946</v>
      </c>
      <c r="G929" t="s">
        <v>2197</v>
      </c>
      <c r="H929" t="s">
        <v>2198</v>
      </c>
      <c r="I929" t="s">
        <v>271</v>
      </c>
      <c r="J929" t="s">
        <v>95</v>
      </c>
      <c r="K929" t="s">
        <v>71</v>
      </c>
      <c r="L929" s="1">
        <v>42877</v>
      </c>
      <c r="M929" s="2">
        <v>857298</v>
      </c>
      <c r="N929" s="2" t="s">
        <v>2950</v>
      </c>
      <c r="O929" t="s">
        <v>253</v>
      </c>
      <c r="P929" t="s">
        <v>21</v>
      </c>
      <c r="Q929" t="s">
        <v>72</v>
      </c>
      <c r="R929">
        <v>9</v>
      </c>
      <c r="S929" t="s">
        <v>2951</v>
      </c>
    </row>
    <row r="930" spans="1:19" x14ac:dyDescent="0.3">
      <c r="A930" t="s">
        <v>2207</v>
      </c>
      <c r="B930" t="s">
        <v>412</v>
      </c>
      <c r="C930" t="s">
        <v>38</v>
      </c>
      <c r="D930" t="s">
        <v>24</v>
      </c>
      <c r="E930">
        <v>49</v>
      </c>
      <c r="F930" t="s">
        <v>2947</v>
      </c>
      <c r="G930" t="s">
        <v>2200</v>
      </c>
      <c r="H930" t="s">
        <v>2914</v>
      </c>
      <c r="I930" t="s">
        <v>100</v>
      </c>
      <c r="J930" t="s">
        <v>421</v>
      </c>
      <c r="K930" t="s">
        <v>48</v>
      </c>
      <c r="L930" s="1">
        <v>44798</v>
      </c>
      <c r="M930" s="2">
        <v>294081</v>
      </c>
      <c r="N930" s="2" t="s">
        <v>2948</v>
      </c>
      <c r="O930" t="s">
        <v>111</v>
      </c>
      <c r="P930" t="s">
        <v>21</v>
      </c>
      <c r="Q930" t="s">
        <v>65</v>
      </c>
      <c r="R930">
        <v>3.7</v>
      </c>
      <c r="S930" t="s">
        <v>2952</v>
      </c>
    </row>
    <row r="931" spans="1:19" x14ac:dyDescent="0.3">
      <c r="A931" t="s">
        <v>2209</v>
      </c>
      <c r="B931" t="s">
        <v>259</v>
      </c>
      <c r="C931" t="s">
        <v>133</v>
      </c>
      <c r="D931" t="s">
        <v>45</v>
      </c>
      <c r="E931">
        <v>51</v>
      </c>
      <c r="F931" t="s">
        <v>2947</v>
      </c>
      <c r="G931" t="s">
        <v>2202</v>
      </c>
      <c r="H931" t="s">
        <v>2203</v>
      </c>
      <c r="I931" t="s">
        <v>100</v>
      </c>
      <c r="J931" t="s">
        <v>274</v>
      </c>
      <c r="K931" t="s">
        <v>48</v>
      </c>
      <c r="L931" s="1">
        <v>43784</v>
      </c>
      <c r="N931" s="2" t="s">
        <v>2369</v>
      </c>
      <c r="O931" t="s">
        <v>216</v>
      </c>
      <c r="P931" t="s">
        <v>205</v>
      </c>
      <c r="Q931" t="s">
        <v>72</v>
      </c>
      <c r="R931">
        <v>6.5</v>
      </c>
      <c r="S931" t="s">
        <v>2953</v>
      </c>
    </row>
    <row r="932" spans="1:19" x14ac:dyDescent="0.3">
      <c r="A932" t="s">
        <v>2211</v>
      </c>
      <c r="B932" t="s">
        <v>348</v>
      </c>
      <c r="C932" t="s">
        <v>318</v>
      </c>
      <c r="D932" t="s">
        <v>24</v>
      </c>
      <c r="E932">
        <v>56</v>
      </c>
      <c r="F932" t="s">
        <v>2947</v>
      </c>
      <c r="G932" t="s">
        <v>2205</v>
      </c>
      <c r="H932" t="s">
        <v>2206</v>
      </c>
      <c r="I932" t="s">
        <v>394</v>
      </c>
      <c r="J932" t="s">
        <v>627</v>
      </c>
      <c r="K932" t="s">
        <v>35</v>
      </c>
      <c r="L932" s="1">
        <v>42787</v>
      </c>
      <c r="M932" s="2">
        <v>440367</v>
      </c>
      <c r="N932" s="2" t="s">
        <v>2948</v>
      </c>
      <c r="O932" t="s">
        <v>111</v>
      </c>
      <c r="P932" t="s">
        <v>90</v>
      </c>
      <c r="Q932" t="s">
        <v>72</v>
      </c>
      <c r="R932">
        <v>9.1999999999999993</v>
      </c>
      <c r="S932" t="s">
        <v>2951</v>
      </c>
    </row>
    <row r="933" spans="1:19" x14ac:dyDescent="0.3">
      <c r="A933" t="s">
        <v>2213</v>
      </c>
      <c r="B933" t="s">
        <v>259</v>
      </c>
      <c r="C933" t="s">
        <v>237</v>
      </c>
      <c r="D933" t="s">
        <v>24</v>
      </c>
      <c r="E933">
        <v>32</v>
      </c>
      <c r="F933" t="s">
        <v>2946</v>
      </c>
      <c r="G933" t="s">
        <v>2208</v>
      </c>
      <c r="H933" t="s">
        <v>2915</v>
      </c>
      <c r="I933" t="s">
        <v>368</v>
      </c>
      <c r="J933" t="s">
        <v>47</v>
      </c>
      <c r="K933" t="s">
        <v>71</v>
      </c>
      <c r="L933" s="1">
        <v>44022</v>
      </c>
      <c r="M933" s="2">
        <v>523663</v>
      </c>
      <c r="N933" s="2" t="s">
        <v>2950</v>
      </c>
      <c r="O933" t="s">
        <v>130</v>
      </c>
      <c r="P933" t="s">
        <v>90</v>
      </c>
      <c r="Q933" t="s">
        <v>244</v>
      </c>
      <c r="R933">
        <v>5.8</v>
      </c>
      <c r="S933" t="s">
        <v>2953</v>
      </c>
    </row>
    <row r="934" spans="1:19" x14ac:dyDescent="0.3">
      <c r="A934" t="s">
        <v>2215</v>
      </c>
      <c r="B934" t="s">
        <v>269</v>
      </c>
      <c r="C934" t="s">
        <v>408</v>
      </c>
      <c r="D934" t="s">
        <v>24</v>
      </c>
      <c r="E934">
        <v>29</v>
      </c>
      <c r="F934" t="s">
        <v>2945</v>
      </c>
      <c r="G934" t="s">
        <v>2210</v>
      </c>
      <c r="H934" t="s">
        <v>2369</v>
      </c>
      <c r="I934" t="s">
        <v>271</v>
      </c>
      <c r="J934" t="s">
        <v>1330</v>
      </c>
      <c r="K934" t="s">
        <v>28</v>
      </c>
      <c r="L934" s="1">
        <v>43650</v>
      </c>
      <c r="M934" s="2">
        <v>620358</v>
      </c>
      <c r="N934" s="2" t="s">
        <v>2950</v>
      </c>
      <c r="O934" t="s">
        <v>130</v>
      </c>
      <c r="P934" t="s">
        <v>205</v>
      </c>
      <c r="Q934" t="s">
        <v>65</v>
      </c>
      <c r="R934">
        <v>6.9</v>
      </c>
      <c r="S934" t="s">
        <v>2953</v>
      </c>
    </row>
    <row r="935" spans="1:19" x14ac:dyDescent="0.3">
      <c r="A935" t="s">
        <v>1994</v>
      </c>
      <c r="B935" t="s">
        <v>17</v>
      </c>
      <c r="C935" t="s">
        <v>75</v>
      </c>
      <c r="D935" t="s">
        <v>24</v>
      </c>
      <c r="E935">
        <v>48</v>
      </c>
      <c r="F935" t="s">
        <v>2947</v>
      </c>
      <c r="G935" t="s">
        <v>2468</v>
      </c>
      <c r="H935" t="s">
        <v>2212</v>
      </c>
      <c r="I935" t="s">
        <v>271</v>
      </c>
      <c r="K935" t="s">
        <v>28</v>
      </c>
      <c r="L935" s="1">
        <v>42403</v>
      </c>
      <c r="M935" s="2">
        <v>510893</v>
      </c>
      <c r="N935" s="2" t="s">
        <v>2950</v>
      </c>
      <c r="O935" t="s">
        <v>41</v>
      </c>
      <c r="P935" t="s">
        <v>353</v>
      </c>
      <c r="Q935" t="s">
        <v>79</v>
      </c>
      <c r="R935">
        <v>10.3</v>
      </c>
      <c r="S935" t="s">
        <v>2951</v>
      </c>
    </row>
    <row r="936" spans="1:19" x14ac:dyDescent="0.3">
      <c r="A936" t="s">
        <v>2218</v>
      </c>
      <c r="B936" t="s">
        <v>297</v>
      </c>
      <c r="C936" t="s">
        <v>120</v>
      </c>
      <c r="D936" t="s">
        <v>24</v>
      </c>
      <c r="E936">
        <v>48</v>
      </c>
      <c r="F936" t="s">
        <v>2947</v>
      </c>
      <c r="G936" t="s">
        <v>2214</v>
      </c>
      <c r="H936" t="s">
        <v>2369</v>
      </c>
      <c r="I936" t="s">
        <v>485</v>
      </c>
      <c r="J936" t="s">
        <v>179</v>
      </c>
      <c r="K936" t="s">
        <v>48</v>
      </c>
      <c r="L936" s="1">
        <v>42496</v>
      </c>
      <c r="M936" s="2">
        <v>875882</v>
      </c>
      <c r="N936" s="2" t="s">
        <v>2950</v>
      </c>
      <c r="O936" t="s">
        <v>111</v>
      </c>
      <c r="P936" t="s">
        <v>21</v>
      </c>
      <c r="Q936" t="s">
        <v>158</v>
      </c>
      <c r="R936">
        <v>10</v>
      </c>
      <c r="S936" t="s">
        <v>2951</v>
      </c>
    </row>
    <row r="937" spans="1:19" x14ac:dyDescent="0.3">
      <c r="A937" t="s">
        <v>2220</v>
      </c>
      <c r="B937" t="s">
        <v>85</v>
      </c>
      <c r="C937" t="s">
        <v>75</v>
      </c>
      <c r="D937" t="s">
        <v>24</v>
      </c>
      <c r="F937" t="s">
        <v>2369</v>
      </c>
      <c r="G937" t="s">
        <v>2216</v>
      </c>
      <c r="H937" t="s">
        <v>2217</v>
      </c>
      <c r="I937" t="s">
        <v>592</v>
      </c>
      <c r="J937" t="s">
        <v>1051</v>
      </c>
      <c r="K937" t="s">
        <v>48</v>
      </c>
      <c r="L937" s="1">
        <v>42896</v>
      </c>
      <c r="M937" s="2">
        <v>782022</v>
      </c>
      <c r="N937" s="2" t="s">
        <v>2950</v>
      </c>
      <c r="O937" t="s">
        <v>41</v>
      </c>
      <c r="P937" t="s">
        <v>90</v>
      </c>
      <c r="Q937" t="s">
        <v>79</v>
      </c>
      <c r="R937">
        <v>8.9</v>
      </c>
      <c r="S937" t="s">
        <v>2951</v>
      </c>
    </row>
    <row r="938" spans="1:19" x14ac:dyDescent="0.3">
      <c r="A938" t="s">
        <v>2222</v>
      </c>
      <c r="B938" t="s">
        <v>412</v>
      </c>
      <c r="C938" t="s">
        <v>133</v>
      </c>
      <c r="D938" t="s">
        <v>24</v>
      </c>
      <c r="E938">
        <v>40</v>
      </c>
      <c r="F938" t="s">
        <v>2946</v>
      </c>
      <c r="G938" t="s">
        <v>2415</v>
      </c>
      <c r="H938" t="s">
        <v>2219</v>
      </c>
      <c r="I938" t="s">
        <v>485</v>
      </c>
      <c r="K938" t="s">
        <v>35</v>
      </c>
      <c r="L938" s="1">
        <v>43141</v>
      </c>
      <c r="M938" s="2">
        <v>180120</v>
      </c>
      <c r="N938" s="2" t="s">
        <v>2949</v>
      </c>
      <c r="O938" t="s">
        <v>130</v>
      </c>
      <c r="P938" t="s">
        <v>353</v>
      </c>
      <c r="Q938" t="s">
        <v>79</v>
      </c>
      <c r="R938">
        <v>8.3000000000000007</v>
      </c>
      <c r="S938" t="s">
        <v>2951</v>
      </c>
    </row>
    <row r="939" spans="1:19" x14ac:dyDescent="0.3">
      <c r="A939" t="s">
        <v>2224</v>
      </c>
      <c r="B939" t="s">
        <v>81</v>
      </c>
      <c r="C939" t="s">
        <v>516</v>
      </c>
      <c r="D939" t="s">
        <v>24</v>
      </c>
      <c r="E939">
        <v>30</v>
      </c>
      <c r="F939" t="s">
        <v>2945</v>
      </c>
      <c r="G939" t="s">
        <v>2221</v>
      </c>
      <c r="H939" t="s">
        <v>2916</v>
      </c>
      <c r="I939" t="s">
        <v>235</v>
      </c>
      <c r="J939" t="s">
        <v>219</v>
      </c>
      <c r="K939" t="s">
        <v>28</v>
      </c>
      <c r="L939" s="1">
        <v>43162</v>
      </c>
      <c r="M939" s="2">
        <v>229387</v>
      </c>
      <c r="N939" s="2" t="s">
        <v>2948</v>
      </c>
      <c r="O939" t="s">
        <v>111</v>
      </c>
      <c r="P939" t="s">
        <v>90</v>
      </c>
      <c r="Q939" t="s">
        <v>79</v>
      </c>
      <c r="R939">
        <v>8.1999999999999993</v>
      </c>
      <c r="S939" t="s">
        <v>2951</v>
      </c>
    </row>
    <row r="940" spans="1:19" x14ac:dyDescent="0.3">
      <c r="A940" t="s">
        <v>323</v>
      </c>
      <c r="B940" t="s">
        <v>269</v>
      </c>
      <c r="C940" t="s">
        <v>75</v>
      </c>
      <c r="D940" t="s">
        <v>24</v>
      </c>
      <c r="E940">
        <v>57</v>
      </c>
      <c r="F940" t="s">
        <v>2947</v>
      </c>
      <c r="G940" t="s">
        <v>2223</v>
      </c>
      <c r="H940" t="s">
        <v>2917</v>
      </c>
      <c r="I940" t="s">
        <v>368</v>
      </c>
      <c r="J940" t="s">
        <v>796</v>
      </c>
      <c r="K940" t="s">
        <v>28</v>
      </c>
      <c r="L940" s="1">
        <v>43361</v>
      </c>
      <c r="M940" s="2">
        <v>801484</v>
      </c>
      <c r="N940" s="2" t="s">
        <v>2950</v>
      </c>
      <c r="O940" t="s">
        <v>111</v>
      </c>
      <c r="P940" t="s">
        <v>90</v>
      </c>
      <c r="Q940" t="s">
        <v>79</v>
      </c>
      <c r="R940">
        <v>7.7</v>
      </c>
      <c r="S940" t="s">
        <v>2953</v>
      </c>
    </row>
    <row r="941" spans="1:19" x14ac:dyDescent="0.3">
      <c r="A941" t="s">
        <v>2226</v>
      </c>
      <c r="B941" t="s">
        <v>281</v>
      </c>
      <c r="C941" t="s">
        <v>327</v>
      </c>
      <c r="D941" t="s">
        <v>24</v>
      </c>
      <c r="E941">
        <v>42</v>
      </c>
      <c r="F941" t="s">
        <v>2946</v>
      </c>
      <c r="G941" t="s">
        <v>2393</v>
      </c>
      <c r="H941" t="s">
        <v>2225</v>
      </c>
      <c r="I941" t="s">
        <v>235</v>
      </c>
      <c r="J941" t="s">
        <v>747</v>
      </c>
      <c r="K941" t="s">
        <v>35</v>
      </c>
      <c r="L941" s="1">
        <v>44948</v>
      </c>
      <c r="M941" s="2">
        <v>384691</v>
      </c>
      <c r="N941" s="2" t="s">
        <v>2948</v>
      </c>
      <c r="O941" t="s">
        <v>216</v>
      </c>
      <c r="P941" t="s">
        <v>152</v>
      </c>
      <c r="Q941" t="s">
        <v>244</v>
      </c>
      <c r="R941">
        <v>3.3</v>
      </c>
      <c r="S941" t="s">
        <v>2952</v>
      </c>
    </row>
    <row r="942" spans="1:19" x14ac:dyDescent="0.3">
      <c r="A942" t="s">
        <v>2227</v>
      </c>
      <c r="B942" t="s">
        <v>141</v>
      </c>
      <c r="C942" t="e">
        <v>#VALUE!</v>
      </c>
      <c r="D942" t="s">
        <v>24</v>
      </c>
      <c r="E942">
        <v>24</v>
      </c>
      <c r="F942" t="s">
        <v>2945</v>
      </c>
      <c r="G942" t="s">
        <v>2369</v>
      </c>
      <c r="H942" t="s">
        <v>2918</v>
      </c>
      <c r="I942" t="s">
        <v>100</v>
      </c>
      <c r="J942" t="s">
        <v>101</v>
      </c>
      <c r="K942" t="s">
        <v>35</v>
      </c>
      <c r="L942" s="1">
        <v>44119</v>
      </c>
      <c r="M942" s="2">
        <v>288011</v>
      </c>
      <c r="N942" s="2" t="s">
        <v>2948</v>
      </c>
      <c r="O942" t="s">
        <v>111</v>
      </c>
      <c r="P942" t="s">
        <v>21</v>
      </c>
      <c r="Q942" t="s">
        <v>244</v>
      </c>
      <c r="R942">
        <v>5.6</v>
      </c>
      <c r="S942" t="s">
        <v>2953</v>
      </c>
    </row>
    <row r="943" spans="1:19" x14ac:dyDescent="0.3">
      <c r="A943" t="s">
        <v>2229</v>
      </c>
      <c r="B943" t="s">
        <v>416</v>
      </c>
      <c r="C943" t="s">
        <v>57</v>
      </c>
      <c r="D943" t="s">
        <v>24</v>
      </c>
      <c r="E943">
        <v>27</v>
      </c>
      <c r="F943" t="s">
        <v>2945</v>
      </c>
      <c r="G943" t="s">
        <v>2228</v>
      </c>
      <c r="H943" t="s">
        <v>2369</v>
      </c>
      <c r="I943" t="s">
        <v>100</v>
      </c>
      <c r="J943" t="s">
        <v>948</v>
      </c>
      <c r="K943" t="s">
        <v>48</v>
      </c>
      <c r="L943" s="1">
        <v>42127</v>
      </c>
      <c r="M943" s="2">
        <v>512994</v>
      </c>
      <c r="N943" s="2" t="s">
        <v>2950</v>
      </c>
      <c r="O943" t="s">
        <v>111</v>
      </c>
      <c r="P943" t="s">
        <v>205</v>
      </c>
      <c r="Q943" t="s">
        <v>244</v>
      </c>
      <c r="R943">
        <v>11</v>
      </c>
      <c r="S943" t="s">
        <v>2951</v>
      </c>
    </row>
    <row r="944" spans="1:19" x14ac:dyDescent="0.3">
      <c r="A944" t="s">
        <v>2231</v>
      </c>
      <c r="B944" t="s">
        <v>160</v>
      </c>
      <c r="C944" t="s">
        <v>141</v>
      </c>
      <c r="D944" t="s">
        <v>45</v>
      </c>
      <c r="E944">
        <v>25</v>
      </c>
      <c r="F944" t="s">
        <v>2945</v>
      </c>
      <c r="G944" t="s">
        <v>2230</v>
      </c>
      <c r="H944" t="s">
        <v>2919</v>
      </c>
      <c r="I944" t="s">
        <v>368</v>
      </c>
      <c r="J944" t="s">
        <v>192</v>
      </c>
      <c r="K944" t="s">
        <v>71</v>
      </c>
      <c r="L944" s="1">
        <v>42388</v>
      </c>
      <c r="M944" s="2">
        <v>862361</v>
      </c>
      <c r="N944" s="2" t="s">
        <v>2950</v>
      </c>
      <c r="O944" t="s">
        <v>216</v>
      </c>
      <c r="P944" t="s">
        <v>21</v>
      </c>
      <c r="Q944" t="s">
        <v>244</v>
      </c>
      <c r="R944">
        <v>10.3</v>
      </c>
      <c r="S944" t="s">
        <v>2951</v>
      </c>
    </row>
    <row r="945" spans="1:19" x14ac:dyDescent="0.3">
      <c r="A945" t="s">
        <v>2233</v>
      </c>
      <c r="B945" t="s">
        <v>30</v>
      </c>
      <c r="C945" t="s">
        <v>249</v>
      </c>
      <c r="D945" t="s">
        <v>45</v>
      </c>
      <c r="E945">
        <v>25</v>
      </c>
      <c r="F945" t="s">
        <v>2945</v>
      </c>
      <c r="G945" t="s">
        <v>2232</v>
      </c>
      <c r="H945" t="s">
        <v>2920</v>
      </c>
      <c r="I945" t="s">
        <v>235</v>
      </c>
      <c r="J945" t="s">
        <v>528</v>
      </c>
      <c r="K945" t="s">
        <v>71</v>
      </c>
      <c r="L945" s="1">
        <v>44917</v>
      </c>
      <c r="M945" s="2">
        <v>203858</v>
      </c>
      <c r="N945" s="2" t="s">
        <v>2948</v>
      </c>
      <c r="O945" t="s">
        <v>216</v>
      </c>
      <c r="P945" t="s">
        <v>353</v>
      </c>
      <c r="Q945" t="s">
        <v>244</v>
      </c>
      <c r="R945">
        <v>3.4</v>
      </c>
      <c r="S945" t="s">
        <v>2952</v>
      </c>
    </row>
    <row r="946" spans="1:19" x14ac:dyDescent="0.3">
      <c r="A946" t="s">
        <v>2235</v>
      </c>
      <c r="B946" t="s">
        <v>103</v>
      </c>
      <c r="C946" t="s">
        <v>213</v>
      </c>
      <c r="D946" t="s">
        <v>24</v>
      </c>
      <c r="E946">
        <v>46</v>
      </c>
      <c r="F946" t="s">
        <v>2947</v>
      </c>
      <c r="G946" t="s">
        <v>1941</v>
      </c>
      <c r="H946" t="s">
        <v>2234</v>
      </c>
      <c r="I946" t="s">
        <v>517</v>
      </c>
      <c r="J946" t="s">
        <v>596</v>
      </c>
      <c r="K946" t="s">
        <v>48</v>
      </c>
      <c r="L946" s="1">
        <v>44845</v>
      </c>
      <c r="M946" s="2">
        <v>696369</v>
      </c>
      <c r="N946" s="2" t="s">
        <v>2950</v>
      </c>
      <c r="O946" t="s">
        <v>111</v>
      </c>
      <c r="P946" t="s">
        <v>90</v>
      </c>
      <c r="Q946" t="s">
        <v>65</v>
      </c>
      <c r="R946">
        <v>3.6</v>
      </c>
      <c r="S946" t="s">
        <v>2952</v>
      </c>
    </row>
    <row r="947" spans="1:19" x14ac:dyDescent="0.3">
      <c r="A947" t="s">
        <v>2363</v>
      </c>
      <c r="B947" t="s">
        <v>103</v>
      </c>
      <c r="C947" t="s">
        <v>516</v>
      </c>
      <c r="D947" t="s">
        <v>24</v>
      </c>
      <c r="E947">
        <v>45</v>
      </c>
      <c r="F947" t="s">
        <v>2946</v>
      </c>
      <c r="G947" t="s">
        <v>2236</v>
      </c>
      <c r="H947" t="s">
        <v>2921</v>
      </c>
      <c r="I947" t="s">
        <v>592</v>
      </c>
      <c r="J947" t="s">
        <v>593</v>
      </c>
      <c r="K947" t="s">
        <v>35</v>
      </c>
      <c r="M947" s="2">
        <v>536899</v>
      </c>
      <c r="N947" s="2" t="s">
        <v>2950</v>
      </c>
      <c r="O947" t="s">
        <v>216</v>
      </c>
      <c r="P947" t="s">
        <v>90</v>
      </c>
      <c r="Q947" t="s">
        <v>65</v>
      </c>
      <c r="R947">
        <v>6.1</v>
      </c>
      <c r="S947" t="s">
        <v>2953</v>
      </c>
    </row>
    <row r="948" spans="1:19" x14ac:dyDescent="0.3">
      <c r="A948" t="s">
        <v>2238</v>
      </c>
      <c r="B948" t="s">
        <v>113</v>
      </c>
      <c r="C948" t="s">
        <v>31</v>
      </c>
      <c r="D948" t="s">
        <v>45</v>
      </c>
      <c r="E948">
        <v>42</v>
      </c>
      <c r="F948" t="s">
        <v>2946</v>
      </c>
      <c r="G948" t="s">
        <v>2237</v>
      </c>
      <c r="H948" t="s">
        <v>2369</v>
      </c>
      <c r="I948" t="s">
        <v>394</v>
      </c>
      <c r="J948" t="s">
        <v>727</v>
      </c>
      <c r="K948" t="s">
        <v>48</v>
      </c>
      <c r="L948" s="1">
        <v>44773</v>
      </c>
      <c r="M948" s="2">
        <v>457420</v>
      </c>
      <c r="N948" s="2" t="s">
        <v>2948</v>
      </c>
      <c r="O948" t="s">
        <v>130</v>
      </c>
      <c r="P948" t="s">
        <v>205</v>
      </c>
      <c r="Q948" t="s">
        <v>79</v>
      </c>
      <c r="R948">
        <v>3.8</v>
      </c>
      <c r="S948" t="s">
        <v>2952</v>
      </c>
    </row>
    <row r="949" spans="1:19" x14ac:dyDescent="0.3">
      <c r="A949" t="s">
        <v>2364</v>
      </c>
      <c r="B949" t="s">
        <v>154</v>
      </c>
      <c r="C949" t="s">
        <v>408</v>
      </c>
      <c r="D949" t="s">
        <v>24</v>
      </c>
      <c r="E949">
        <v>40</v>
      </c>
      <c r="F949" t="s">
        <v>2946</v>
      </c>
      <c r="G949" t="s">
        <v>2239</v>
      </c>
      <c r="H949" t="s">
        <v>2240</v>
      </c>
      <c r="I949" t="s">
        <v>592</v>
      </c>
      <c r="J949" t="s">
        <v>742</v>
      </c>
      <c r="K949" t="s">
        <v>35</v>
      </c>
      <c r="M949" s="2">
        <v>744797</v>
      </c>
      <c r="N949" s="2" t="s">
        <v>2950</v>
      </c>
      <c r="O949" t="s">
        <v>111</v>
      </c>
      <c r="P949" t="s">
        <v>353</v>
      </c>
      <c r="Q949" t="s">
        <v>244</v>
      </c>
      <c r="R949">
        <v>7.1</v>
      </c>
      <c r="S949" t="s">
        <v>2953</v>
      </c>
    </row>
    <row r="950" spans="1:19" x14ac:dyDescent="0.3">
      <c r="A950" t="s">
        <v>2242</v>
      </c>
      <c r="B950" t="s">
        <v>127</v>
      </c>
      <c r="C950" t="s">
        <v>314</v>
      </c>
      <c r="D950" t="s">
        <v>24</v>
      </c>
      <c r="E950">
        <v>48</v>
      </c>
      <c r="F950" t="s">
        <v>2947</v>
      </c>
      <c r="G950" t="s">
        <v>2241</v>
      </c>
      <c r="H950" t="s">
        <v>2922</v>
      </c>
      <c r="I950" t="s">
        <v>368</v>
      </c>
      <c r="J950" t="s">
        <v>796</v>
      </c>
      <c r="K950" t="s">
        <v>28</v>
      </c>
      <c r="L950" s="1">
        <v>42539</v>
      </c>
      <c r="M950" s="2">
        <v>868056</v>
      </c>
      <c r="N950" s="2" t="s">
        <v>2950</v>
      </c>
      <c r="O950" t="s">
        <v>198</v>
      </c>
      <c r="P950" t="s">
        <v>21</v>
      </c>
      <c r="Q950" t="s">
        <v>244</v>
      </c>
      <c r="R950">
        <v>9.9</v>
      </c>
      <c r="S950" t="s">
        <v>2951</v>
      </c>
    </row>
    <row r="951" spans="1:19" x14ac:dyDescent="0.3">
      <c r="A951" t="s">
        <v>2245</v>
      </c>
      <c r="B951" t="s">
        <v>30</v>
      </c>
      <c r="C951" t="s">
        <v>287</v>
      </c>
      <c r="D951" t="s">
        <v>24</v>
      </c>
      <c r="E951">
        <v>56</v>
      </c>
      <c r="F951" t="s">
        <v>2947</v>
      </c>
      <c r="G951" t="s">
        <v>2243</v>
      </c>
      <c r="H951" t="s">
        <v>2244</v>
      </c>
      <c r="I951" t="s">
        <v>517</v>
      </c>
      <c r="J951" t="s">
        <v>790</v>
      </c>
      <c r="K951" t="s">
        <v>35</v>
      </c>
      <c r="L951" s="1">
        <v>42586</v>
      </c>
      <c r="M951" s="2">
        <v>742435</v>
      </c>
      <c r="N951" s="2" t="s">
        <v>2950</v>
      </c>
      <c r="O951" t="s">
        <v>130</v>
      </c>
      <c r="P951" t="s">
        <v>152</v>
      </c>
      <c r="Q951" t="s">
        <v>79</v>
      </c>
      <c r="R951">
        <v>10.1</v>
      </c>
      <c r="S951" t="s">
        <v>2951</v>
      </c>
    </row>
    <row r="952" spans="1:19" x14ac:dyDescent="0.3">
      <c r="A952" t="s">
        <v>2248</v>
      </c>
      <c r="B952" t="s">
        <v>56</v>
      </c>
      <c r="C952" t="s">
        <v>213</v>
      </c>
      <c r="D952" t="s">
        <v>45</v>
      </c>
      <c r="E952">
        <v>42</v>
      </c>
      <c r="F952" t="s">
        <v>2946</v>
      </c>
      <c r="G952" t="s">
        <v>2246</v>
      </c>
      <c r="H952" t="s">
        <v>2247</v>
      </c>
      <c r="I952" t="s">
        <v>368</v>
      </c>
      <c r="J952" t="s">
        <v>801</v>
      </c>
      <c r="K952" t="s">
        <v>71</v>
      </c>
      <c r="L952" s="1">
        <v>44418</v>
      </c>
      <c r="M952" s="2">
        <v>92892</v>
      </c>
      <c r="N952" s="2" t="s">
        <v>2949</v>
      </c>
      <c r="O952" t="s">
        <v>111</v>
      </c>
      <c r="P952" t="s">
        <v>21</v>
      </c>
      <c r="Q952" t="s">
        <v>65</v>
      </c>
      <c r="R952">
        <v>4.8</v>
      </c>
      <c r="S952" t="s">
        <v>2952</v>
      </c>
    </row>
    <row r="953" spans="1:19" x14ac:dyDescent="0.3">
      <c r="A953" t="s">
        <v>2251</v>
      </c>
      <c r="B953" t="s">
        <v>212</v>
      </c>
      <c r="C953" t="s">
        <v>249</v>
      </c>
      <c r="D953" t="s">
        <v>45</v>
      </c>
      <c r="E953">
        <v>29</v>
      </c>
      <c r="F953" t="s">
        <v>2945</v>
      </c>
      <c r="G953" t="s">
        <v>2249</v>
      </c>
      <c r="H953" t="s">
        <v>2250</v>
      </c>
      <c r="I953" t="s">
        <v>100</v>
      </c>
      <c r="J953" t="s">
        <v>603</v>
      </c>
      <c r="K953" t="s">
        <v>35</v>
      </c>
      <c r="L953" s="1">
        <v>44996</v>
      </c>
      <c r="M953" s="2">
        <v>818119</v>
      </c>
      <c r="N953" s="2" t="s">
        <v>2950</v>
      </c>
      <c r="O953" t="s">
        <v>216</v>
      </c>
      <c r="P953" t="s">
        <v>90</v>
      </c>
      <c r="Q953" t="s">
        <v>72</v>
      </c>
      <c r="R953">
        <v>3.2</v>
      </c>
      <c r="S953" t="s">
        <v>2952</v>
      </c>
    </row>
    <row r="954" spans="1:19" x14ac:dyDescent="0.3">
      <c r="A954" t="s">
        <v>2253</v>
      </c>
      <c r="B954" t="s">
        <v>187</v>
      </c>
      <c r="C954" t="s">
        <v>50</v>
      </c>
      <c r="D954" t="s">
        <v>45</v>
      </c>
      <c r="E954">
        <v>23</v>
      </c>
      <c r="F954" t="s">
        <v>2945</v>
      </c>
      <c r="G954" t="s">
        <v>1993</v>
      </c>
      <c r="H954" t="s">
        <v>2252</v>
      </c>
      <c r="I954" t="s">
        <v>100</v>
      </c>
      <c r="J954" t="s">
        <v>173</v>
      </c>
      <c r="K954" t="s">
        <v>71</v>
      </c>
      <c r="L954" s="1">
        <v>42648</v>
      </c>
      <c r="M954" s="2">
        <v>719418</v>
      </c>
      <c r="N954" s="2" t="s">
        <v>2950</v>
      </c>
      <c r="O954" t="s">
        <v>216</v>
      </c>
      <c r="P954" t="s">
        <v>152</v>
      </c>
      <c r="Q954" t="s">
        <v>244</v>
      </c>
      <c r="R954">
        <v>9.6</v>
      </c>
      <c r="S954" t="s">
        <v>2951</v>
      </c>
    </row>
    <row r="955" spans="1:19" x14ac:dyDescent="0.3">
      <c r="A955" t="s">
        <v>2255</v>
      </c>
      <c r="B955" t="s">
        <v>61</v>
      </c>
      <c r="C955" t="s">
        <v>38</v>
      </c>
      <c r="D955" t="s">
        <v>24</v>
      </c>
      <c r="E955">
        <v>42</v>
      </c>
      <c r="F955" t="s">
        <v>2946</v>
      </c>
      <c r="G955" t="s">
        <v>2254</v>
      </c>
      <c r="H955" t="s">
        <v>2923</v>
      </c>
      <c r="I955" t="s">
        <v>394</v>
      </c>
      <c r="J955" t="s">
        <v>231</v>
      </c>
      <c r="K955" t="s">
        <v>35</v>
      </c>
      <c r="L955" s="1">
        <v>43353</v>
      </c>
      <c r="M955" s="2">
        <v>8264180</v>
      </c>
      <c r="N955" s="2" t="s">
        <v>2950</v>
      </c>
      <c r="O955" t="s">
        <v>130</v>
      </c>
      <c r="P955" t="s">
        <v>205</v>
      </c>
      <c r="Q955" t="s">
        <v>65</v>
      </c>
      <c r="R955">
        <v>7.7</v>
      </c>
      <c r="S955" t="s">
        <v>2953</v>
      </c>
    </row>
    <row r="956" spans="1:19" x14ac:dyDescent="0.3">
      <c r="A956" t="s">
        <v>2257</v>
      </c>
      <c r="B956" t="s">
        <v>377</v>
      </c>
      <c r="C956" t="s">
        <v>50</v>
      </c>
      <c r="D956" t="s">
        <v>24</v>
      </c>
      <c r="E956">
        <v>40</v>
      </c>
      <c r="F956" t="s">
        <v>2946</v>
      </c>
      <c r="G956" t="s">
        <v>2256</v>
      </c>
      <c r="H956" t="s">
        <v>2369</v>
      </c>
      <c r="I956" t="s">
        <v>209</v>
      </c>
      <c r="J956" t="s">
        <v>1540</v>
      </c>
      <c r="K956" t="s">
        <v>35</v>
      </c>
      <c r="L956" s="1">
        <v>42642</v>
      </c>
      <c r="M956" s="2">
        <v>197062</v>
      </c>
      <c r="N956" s="2" t="s">
        <v>2949</v>
      </c>
      <c r="O956" t="s">
        <v>198</v>
      </c>
      <c r="P956" t="s">
        <v>205</v>
      </c>
      <c r="Q956" t="s">
        <v>79</v>
      </c>
      <c r="R956">
        <v>9.6</v>
      </c>
      <c r="S956" t="s">
        <v>2951</v>
      </c>
    </row>
    <row r="957" spans="1:19" x14ac:dyDescent="0.3">
      <c r="A957" t="s">
        <v>2365</v>
      </c>
      <c r="B957" t="s">
        <v>98</v>
      </c>
      <c r="C957" t="s">
        <v>50</v>
      </c>
      <c r="D957" t="s">
        <v>24</v>
      </c>
      <c r="E957">
        <v>42</v>
      </c>
      <c r="F957" t="s">
        <v>2946</v>
      </c>
      <c r="G957" t="s">
        <v>1159</v>
      </c>
      <c r="H957" t="s">
        <v>2924</v>
      </c>
      <c r="I957" t="s">
        <v>235</v>
      </c>
      <c r="J957" t="s">
        <v>880</v>
      </c>
      <c r="K957" t="s">
        <v>71</v>
      </c>
      <c r="L957" s="1">
        <v>42416</v>
      </c>
      <c r="M957" s="2">
        <v>83151</v>
      </c>
      <c r="N957" s="2" t="s">
        <v>2949</v>
      </c>
      <c r="O957" t="s">
        <v>41</v>
      </c>
      <c r="P957" t="s">
        <v>90</v>
      </c>
      <c r="Q957" t="s">
        <v>244</v>
      </c>
      <c r="R957">
        <v>10.199999999999999</v>
      </c>
      <c r="S957" t="s">
        <v>2951</v>
      </c>
    </row>
    <row r="958" spans="1:19" x14ac:dyDescent="0.3">
      <c r="A958" t="s">
        <v>2259</v>
      </c>
      <c r="B958" t="s">
        <v>359</v>
      </c>
      <c r="C958" t="s">
        <v>98</v>
      </c>
      <c r="D958" t="s">
        <v>45</v>
      </c>
      <c r="E958">
        <v>46</v>
      </c>
      <c r="F958" t="s">
        <v>2947</v>
      </c>
      <c r="G958" t="s">
        <v>2258</v>
      </c>
      <c r="H958" t="s">
        <v>2925</v>
      </c>
      <c r="I958" t="s">
        <v>394</v>
      </c>
      <c r="J958" t="s">
        <v>883</v>
      </c>
      <c r="K958" t="s">
        <v>48</v>
      </c>
      <c r="L958" s="1">
        <v>42483</v>
      </c>
      <c r="M958" s="2">
        <v>505792</v>
      </c>
      <c r="N958" s="2" t="s">
        <v>2950</v>
      </c>
      <c r="O958" t="s">
        <v>216</v>
      </c>
      <c r="P958" t="s">
        <v>152</v>
      </c>
      <c r="Q958" t="s">
        <v>244</v>
      </c>
      <c r="R958">
        <v>10.1</v>
      </c>
      <c r="S958" t="s">
        <v>2951</v>
      </c>
    </row>
    <row r="959" spans="1:19" x14ac:dyDescent="0.3">
      <c r="A959" t="s">
        <v>2261</v>
      </c>
      <c r="B959" t="s">
        <v>30</v>
      </c>
      <c r="C959" t="s">
        <v>516</v>
      </c>
      <c r="D959" t="s">
        <v>45</v>
      </c>
      <c r="E959">
        <v>47</v>
      </c>
      <c r="F959" t="s">
        <v>2947</v>
      </c>
      <c r="G959" t="s">
        <v>2260</v>
      </c>
      <c r="H959" t="s">
        <v>2369</v>
      </c>
      <c r="I959" t="s">
        <v>53</v>
      </c>
      <c r="J959" t="s">
        <v>373</v>
      </c>
      <c r="K959" t="s">
        <v>28</v>
      </c>
      <c r="L959" s="1">
        <v>44781</v>
      </c>
      <c r="M959" s="2">
        <v>316206</v>
      </c>
      <c r="N959" s="2" t="s">
        <v>2948</v>
      </c>
      <c r="O959" t="s">
        <v>198</v>
      </c>
      <c r="P959" t="s">
        <v>152</v>
      </c>
      <c r="Q959" t="s">
        <v>158</v>
      </c>
      <c r="R959">
        <v>3.8</v>
      </c>
      <c r="S959" t="s">
        <v>2952</v>
      </c>
    </row>
    <row r="960" spans="1:19" x14ac:dyDescent="0.3">
      <c r="A960" t="s">
        <v>2263</v>
      </c>
      <c r="B960" t="s">
        <v>224</v>
      </c>
      <c r="C960" t="s">
        <v>408</v>
      </c>
      <c r="D960" t="s">
        <v>45</v>
      </c>
      <c r="E960">
        <v>32</v>
      </c>
      <c r="F960" t="s">
        <v>2946</v>
      </c>
      <c r="G960" t="s">
        <v>2262</v>
      </c>
      <c r="H960" t="s">
        <v>2926</v>
      </c>
      <c r="I960" t="s">
        <v>53</v>
      </c>
      <c r="J960" t="s">
        <v>252</v>
      </c>
      <c r="K960" t="s">
        <v>71</v>
      </c>
      <c r="L960" s="1">
        <v>43713</v>
      </c>
      <c r="M960" s="2">
        <v>599899</v>
      </c>
      <c r="N960" s="2" t="s">
        <v>2950</v>
      </c>
      <c r="O960" t="s">
        <v>41</v>
      </c>
      <c r="P960" t="s">
        <v>152</v>
      </c>
      <c r="Q960" t="s">
        <v>65</v>
      </c>
      <c r="R960">
        <v>6.7</v>
      </c>
      <c r="S960" t="s">
        <v>2953</v>
      </c>
    </row>
    <row r="961" spans="1:19" x14ac:dyDescent="0.3">
      <c r="A961" t="s">
        <v>2265</v>
      </c>
      <c r="B961" t="s">
        <v>124</v>
      </c>
      <c r="C961" t="s">
        <v>287</v>
      </c>
      <c r="D961" t="s">
        <v>45</v>
      </c>
      <c r="E961">
        <v>36</v>
      </c>
      <c r="F961" t="s">
        <v>2946</v>
      </c>
      <c r="G961" t="s">
        <v>2264</v>
      </c>
      <c r="H961" t="s">
        <v>2927</v>
      </c>
      <c r="I961" t="s">
        <v>517</v>
      </c>
      <c r="J961" t="s">
        <v>365</v>
      </c>
      <c r="K961" t="s">
        <v>48</v>
      </c>
      <c r="L961" s="1">
        <v>42639</v>
      </c>
      <c r="M961" s="2">
        <v>446142</v>
      </c>
      <c r="N961" s="2" t="s">
        <v>2948</v>
      </c>
      <c r="O961" t="s">
        <v>111</v>
      </c>
      <c r="P961" t="s">
        <v>152</v>
      </c>
      <c r="Q961" t="s">
        <v>158</v>
      </c>
      <c r="R961">
        <v>9.6</v>
      </c>
      <c r="S961" t="s">
        <v>2951</v>
      </c>
    </row>
    <row r="962" spans="1:19" x14ac:dyDescent="0.3">
      <c r="A962" t="s">
        <v>2366</v>
      </c>
      <c r="B962" t="s">
        <v>207</v>
      </c>
      <c r="C962" t="s">
        <v>149</v>
      </c>
      <c r="D962" t="s">
        <v>24</v>
      </c>
      <c r="E962">
        <v>24</v>
      </c>
      <c r="F962" t="s">
        <v>2945</v>
      </c>
      <c r="G962" t="s">
        <v>2266</v>
      </c>
      <c r="H962" t="s">
        <v>2928</v>
      </c>
      <c r="I962" t="s">
        <v>517</v>
      </c>
      <c r="J962" t="s">
        <v>512</v>
      </c>
      <c r="K962" t="s">
        <v>71</v>
      </c>
      <c r="L962" s="1">
        <v>43714</v>
      </c>
      <c r="M962" s="2">
        <v>429142</v>
      </c>
      <c r="N962" s="2" t="s">
        <v>2948</v>
      </c>
      <c r="O962" t="s">
        <v>130</v>
      </c>
      <c r="P962" t="s">
        <v>90</v>
      </c>
      <c r="Q962" t="s">
        <v>79</v>
      </c>
      <c r="R962">
        <v>6.7</v>
      </c>
      <c r="S962" t="s">
        <v>2953</v>
      </c>
    </row>
    <row r="963" spans="1:19" x14ac:dyDescent="0.3">
      <c r="A963" t="s">
        <v>2267</v>
      </c>
      <c r="B963" t="s">
        <v>127</v>
      </c>
      <c r="C963" t="s">
        <v>475</v>
      </c>
      <c r="D963" t="s">
        <v>24</v>
      </c>
      <c r="F963" t="s">
        <v>2369</v>
      </c>
      <c r="G963" t="s">
        <v>1282</v>
      </c>
      <c r="H963" t="s">
        <v>2929</v>
      </c>
      <c r="I963" t="s">
        <v>394</v>
      </c>
      <c r="J963" t="s">
        <v>731</v>
      </c>
      <c r="K963" t="s">
        <v>28</v>
      </c>
      <c r="L963" s="1">
        <v>43951</v>
      </c>
      <c r="M963" s="2">
        <v>782669</v>
      </c>
      <c r="N963" s="2" t="s">
        <v>2950</v>
      </c>
      <c r="O963" t="s">
        <v>111</v>
      </c>
      <c r="P963" t="s">
        <v>205</v>
      </c>
      <c r="Q963" t="s">
        <v>244</v>
      </c>
      <c r="R963">
        <v>6</v>
      </c>
      <c r="S963" t="s">
        <v>2953</v>
      </c>
    </row>
    <row r="964" spans="1:19" x14ac:dyDescent="0.3">
      <c r="A964" t="s">
        <v>2269</v>
      </c>
      <c r="B964" t="s">
        <v>44</v>
      </c>
      <c r="C964" t="s">
        <v>114</v>
      </c>
      <c r="D964" t="s">
        <v>45</v>
      </c>
      <c r="E964">
        <v>55</v>
      </c>
      <c r="F964" t="s">
        <v>2947</v>
      </c>
      <c r="G964" t="s">
        <v>2268</v>
      </c>
      <c r="H964" t="s">
        <v>2930</v>
      </c>
      <c r="I964" t="s">
        <v>53</v>
      </c>
      <c r="J964" t="s">
        <v>54</v>
      </c>
      <c r="K964" t="s">
        <v>35</v>
      </c>
      <c r="L964" s="1">
        <v>44096</v>
      </c>
      <c r="M964" s="2">
        <v>367173</v>
      </c>
      <c r="N964" s="2" t="s">
        <v>2948</v>
      </c>
      <c r="O964" t="s">
        <v>198</v>
      </c>
      <c r="P964" t="s">
        <v>152</v>
      </c>
      <c r="Q964" t="s">
        <v>72</v>
      </c>
      <c r="R964">
        <v>5.6</v>
      </c>
      <c r="S964" t="s">
        <v>2953</v>
      </c>
    </row>
    <row r="965" spans="1:19" x14ac:dyDescent="0.3">
      <c r="A965" t="s">
        <v>2271</v>
      </c>
      <c r="B965" t="s">
        <v>286</v>
      </c>
      <c r="C965" t="s">
        <v>314</v>
      </c>
      <c r="D965" t="s">
        <v>24</v>
      </c>
      <c r="E965">
        <v>31</v>
      </c>
      <c r="F965" t="s">
        <v>2946</v>
      </c>
      <c r="G965" t="s">
        <v>2270</v>
      </c>
      <c r="H965" t="s">
        <v>2931</v>
      </c>
      <c r="I965" t="s">
        <v>517</v>
      </c>
      <c r="J965" t="s">
        <v>151</v>
      </c>
      <c r="K965" t="s">
        <v>35</v>
      </c>
      <c r="L965" s="1">
        <v>44395</v>
      </c>
      <c r="M965" s="2">
        <v>799318</v>
      </c>
      <c r="N965" s="2" t="s">
        <v>2950</v>
      </c>
      <c r="O965" t="s">
        <v>253</v>
      </c>
      <c r="P965" t="s">
        <v>21</v>
      </c>
      <c r="Q965" t="s">
        <v>65</v>
      </c>
      <c r="R965">
        <v>4.8</v>
      </c>
      <c r="S965" t="s">
        <v>2952</v>
      </c>
    </row>
    <row r="966" spans="1:19" x14ac:dyDescent="0.3">
      <c r="A966" t="s">
        <v>2272</v>
      </c>
      <c r="B966" t="s">
        <v>340</v>
      </c>
      <c r="C966" t="s">
        <v>44</v>
      </c>
      <c r="D966" t="s">
        <v>45</v>
      </c>
      <c r="E966">
        <v>56</v>
      </c>
      <c r="F966" t="s">
        <v>2947</v>
      </c>
      <c r="G966" t="s">
        <v>2369</v>
      </c>
      <c r="H966" t="s">
        <v>2932</v>
      </c>
      <c r="I966" t="s">
        <v>235</v>
      </c>
      <c r="J966" t="s">
        <v>477</v>
      </c>
      <c r="K966" t="s">
        <v>48</v>
      </c>
      <c r="L966" s="1">
        <v>42854</v>
      </c>
      <c r="M966" s="2">
        <v>661517</v>
      </c>
      <c r="N966" s="2" t="s">
        <v>2950</v>
      </c>
      <c r="O966" t="s">
        <v>130</v>
      </c>
      <c r="P966" t="s">
        <v>353</v>
      </c>
      <c r="Q966" t="s">
        <v>65</v>
      </c>
      <c r="R966">
        <v>9</v>
      </c>
      <c r="S966" t="s">
        <v>2951</v>
      </c>
    </row>
    <row r="967" spans="1:19" x14ac:dyDescent="0.3">
      <c r="A967" t="s">
        <v>2274</v>
      </c>
      <c r="B967" t="s">
        <v>103</v>
      </c>
      <c r="C967" t="s">
        <v>327</v>
      </c>
      <c r="D967" t="s">
        <v>45</v>
      </c>
      <c r="E967">
        <v>54</v>
      </c>
      <c r="F967" t="s">
        <v>2947</v>
      </c>
      <c r="G967" t="s">
        <v>2273</v>
      </c>
      <c r="H967" t="s">
        <v>2933</v>
      </c>
      <c r="I967" t="s">
        <v>368</v>
      </c>
      <c r="J967" t="s">
        <v>125</v>
      </c>
      <c r="K967" t="s">
        <v>71</v>
      </c>
      <c r="L967" s="1">
        <v>43751</v>
      </c>
      <c r="M967" s="2">
        <v>92910</v>
      </c>
      <c r="N967" s="2" t="s">
        <v>2949</v>
      </c>
      <c r="O967" t="s">
        <v>130</v>
      </c>
      <c r="P967" t="s">
        <v>152</v>
      </c>
      <c r="Q967" t="s">
        <v>65</v>
      </c>
      <c r="R967">
        <v>6.6</v>
      </c>
      <c r="S967" t="s">
        <v>2953</v>
      </c>
    </row>
    <row r="968" spans="1:19" x14ac:dyDescent="0.3">
      <c r="A968" t="s">
        <v>2276</v>
      </c>
      <c r="B968" t="s">
        <v>348</v>
      </c>
      <c r="C968" t="s">
        <v>229</v>
      </c>
      <c r="D968" t="s">
        <v>24</v>
      </c>
      <c r="E968">
        <v>55</v>
      </c>
      <c r="F968" t="s">
        <v>2947</v>
      </c>
      <c r="G968" t="s">
        <v>2275</v>
      </c>
      <c r="H968" t="s">
        <v>2934</v>
      </c>
      <c r="I968" t="s">
        <v>368</v>
      </c>
      <c r="K968" t="s">
        <v>35</v>
      </c>
      <c r="N968" s="2" t="s">
        <v>2369</v>
      </c>
      <c r="O968" t="s">
        <v>41</v>
      </c>
      <c r="P968" t="s">
        <v>205</v>
      </c>
      <c r="Q968" t="s">
        <v>65</v>
      </c>
      <c r="R968">
        <v>3.4</v>
      </c>
      <c r="S968" t="s">
        <v>2952</v>
      </c>
    </row>
    <row r="969" spans="1:19" x14ac:dyDescent="0.3">
      <c r="A969" t="s">
        <v>2278</v>
      </c>
      <c r="B969" t="s">
        <v>113</v>
      </c>
      <c r="C969" t="s">
        <v>108</v>
      </c>
      <c r="D969" t="s">
        <v>24</v>
      </c>
      <c r="E969">
        <v>22</v>
      </c>
      <c r="F969" t="s">
        <v>2945</v>
      </c>
      <c r="G969" t="s">
        <v>2277</v>
      </c>
      <c r="H969" t="s">
        <v>2369</v>
      </c>
      <c r="I969" t="s">
        <v>592</v>
      </c>
      <c r="J969" t="s">
        <v>859</v>
      </c>
      <c r="K969" t="s">
        <v>28</v>
      </c>
      <c r="L969" s="1">
        <v>42167</v>
      </c>
      <c r="M969" s="2">
        <v>585807</v>
      </c>
      <c r="N969" s="2" t="s">
        <v>2950</v>
      </c>
      <c r="O969" t="s">
        <v>130</v>
      </c>
      <c r="P969" t="s">
        <v>152</v>
      </c>
      <c r="Q969" t="s">
        <v>244</v>
      </c>
      <c r="R969">
        <v>10.9</v>
      </c>
      <c r="S969" t="s">
        <v>2951</v>
      </c>
    </row>
    <row r="970" spans="1:19" x14ac:dyDescent="0.3">
      <c r="A970" t="s">
        <v>2279</v>
      </c>
      <c r="B970" t="s">
        <v>555</v>
      </c>
      <c r="C970" t="s">
        <v>68</v>
      </c>
      <c r="D970" t="s">
        <v>45</v>
      </c>
      <c r="E970">
        <v>39</v>
      </c>
      <c r="F970" t="s">
        <v>2946</v>
      </c>
      <c r="G970" t="s">
        <v>2469</v>
      </c>
      <c r="H970" t="s">
        <v>2369</v>
      </c>
      <c r="I970" t="s">
        <v>271</v>
      </c>
      <c r="J970" t="s">
        <v>70</v>
      </c>
      <c r="K970" t="s">
        <v>48</v>
      </c>
      <c r="L970" s="1">
        <v>43280</v>
      </c>
      <c r="M970" s="2">
        <v>458543</v>
      </c>
      <c r="N970" s="2" t="s">
        <v>2948</v>
      </c>
      <c r="O970" t="s">
        <v>216</v>
      </c>
      <c r="P970" t="s">
        <v>90</v>
      </c>
      <c r="Q970" t="s">
        <v>65</v>
      </c>
      <c r="R970">
        <v>7.9</v>
      </c>
      <c r="S970" t="s">
        <v>2953</v>
      </c>
    </row>
    <row r="971" spans="1:19" x14ac:dyDescent="0.3">
      <c r="A971" t="s">
        <v>2282</v>
      </c>
      <c r="B971" t="s">
        <v>103</v>
      </c>
      <c r="C971" t="s">
        <v>38</v>
      </c>
      <c r="D971" t="s">
        <v>24</v>
      </c>
      <c r="E971">
        <v>29</v>
      </c>
      <c r="F971" t="s">
        <v>2945</v>
      </c>
      <c r="G971" t="s">
        <v>2280</v>
      </c>
      <c r="H971" t="s">
        <v>2281</v>
      </c>
      <c r="I971" t="s">
        <v>368</v>
      </c>
      <c r="J971" t="s">
        <v>20</v>
      </c>
      <c r="K971" t="s">
        <v>71</v>
      </c>
      <c r="L971" s="1">
        <v>42863</v>
      </c>
      <c r="M971" s="2">
        <v>327963</v>
      </c>
      <c r="N971" s="2" t="s">
        <v>2948</v>
      </c>
      <c r="O971" t="s">
        <v>41</v>
      </c>
      <c r="P971" t="s">
        <v>152</v>
      </c>
      <c r="Q971" t="s">
        <v>72</v>
      </c>
      <c r="R971">
        <v>9</v>
      </c>
      <c r="S971" t="s">
        <v>2951</v>
      </c>
    </row>
    <row r="972" spans="1:19" x14ac:dyDescent="0.3">
      <c r="A972" t="s">
        <v>2284</v>
      </c>
      <c r="B972" t="s">
        <v>119</v>
      </c>
      <c r="C972" t="s">
        <v>183</v>
      </c>
      <c r="D972" t="s">
        <v>45</v>
      </c>
      <c r="E972">
        <v>27</v>
      </c>
      <c r="F972" t="s">
        <v>2945</v>
      </c>
      <c r="G972" t="s">
        <v>2283</v>
      </c>
      <c r="H972" t="s">
        <v>2935</v>
      </c>
      <c r="I972" t="s">
        <v>235</v>
      </c>
      <c r="J972" t="s">
        <v>477</v>
      </c>
      <c r="K972" t="s">
        <v>71</v>
      </c>
      <c r="M972" s="2">
        <v>578449</v>
      </c>
      <c r="N972" s="2" t="s">
        <v>2950</v>
      </c>
      <c r="O972" t="s">
        <v>111</v>
      </c>
      <c r="P972" t="s">
        <v>152</v>
      </c>
      <c r="Q972" t="s">
        <v>72</v>
      </c>
      <c r="R972">
        <v>10.7</v>
      </c>
      <c r="S972" t="s">
        <v>2951</v>
      </c>
    </row>
    <row r="973" spans="1:19" x14ac:dyDescent="0.3">
      <c r="A973" t="s">
        <v>2285</v>
      </c>
      <c r="B973" t="s">
        <v>190</v>
      </c>
      <c r="C973" t="s">
        <v>183</v>
      </c>
      <c r="D973" t="s">
        <v>45</v>
      </c>
      <c r="E973">
        <v>46</v>
      </c>
      <c r="F973" t="s">
        <v>2947</v>
      </c>
      <c r="G973" t="s">
        <v>2470</v>
      </c>
      <c r="H973" t="s">
        <v>2369</v>
      </c>
      <c r="I973" t="s">
        <v>100</v>
      </c>
      <c r="J973" t="s">
        <v>473</v>
      </c>
      <c r="K973" t="s">
        <v>35</v>
      </c>
      <c r="L973" s="1">
        <v>44164</v>
      </c>
      <c r="M973" s="2">
        <v>873872</v>
      </c>
      <c r="N973" s="2" t="s">
        <v>2950</v>
      </c>
      <c r="O973" t="s">
        <v>253</v>
      </c>
      <c r="P973" t="s">
        <v>152</v>
      </c>
      <c r="Q973" t="s">
        <v>72</v>
      </c>
      <c r="R973">
        <v>5.5</v>
      </c>
      <c r="S973" t="s">
        <v>2953</v>
      </c>
    </row>
    <row r="974" spans="1:19" x14ac:dyDescent="0.3">
      <c r="A974" t="s">
        <v>2287</v>
      </c>
      <c r="B974" t="s">
        <v>233</v>
      </c>
      <c r="C974" t="s">
        <v>336</v>
      </c>
      <c r="D974" t="s">
        <v>45</v>
      </c>
      <c r="E974">
        <v>37</v>
      </c>
      <c r="F974" t="s">
        <v>2946</v>
      </c>
      <c r="G974" t="s">
        <v>2286</v>
      </c>
      <c r="H974" t="s">
        <v>2369</v>
      </c>
      <c r="I974" t="s">
        <v>271</v>
      </c>
      <c r="J974" t="s">
        <v>40</v>
      </c>
      <c r="K974" t="s">
        <v>48</v>
      </c>
      <c r="L974" s="1">
        <v>44989</v>
      </c>
      <c r="M974" s="2">
        <v>660741</v>
      </c>
      <c r="N974" s="2" t="s">
        <v>2950</v>
      </c>
      <c r="O974" t="s">
        <v>130</v>
      </c>
      <c r="P974" t="s">
        <v>353</v>
      </c>
      <c r="Q974" t="s">
        <v>244</v>
      </c>
      <c r="R974">
        <v>3.2</v>
      </c>
      <c r="S974" t="s">
        <v>2952</v>
      </c>
    </row>
    <row r="975" spans="1:19" x14ac:dyDescent="0.3">
      <c r="A975" t="s">
        <v>2289</v>
      </c>
      <c r="B975" t="s">
        <v>74</v>
      </c>
      <c r="C975" t="s">
        <v>277</v>
      </c>
      <c r="D975" t="s">
        <v>24</v>
      </c>
      <c r="E975">
        <v>27</v>
      </c>
      <c r="F975" t="s">
        <v>2945</v>
      </c>
      <c r="G975" t="s">
        <v>2369</v>
      </c>
      <c r="H975" t="s">
        <v>2288</v>
      </c>
      <c r="I975" t="s">
        <v>271</v>
      </c>
      <c r="J975" t="s">
        <v>1330</v>
      </c>
      <c r="K975" t="s">
        <v>48</v>
      </c>
      <c r="L975" s="1">
        <v>44024</v>
      </c>
      <c r="M975" s="2">
        <v>502908</v>
      </c>
      <c r="N975" s="2" t="s">
        <v>2950</v>
      </c>
      <c r="O975" t="s">
        <v>130</v>
      </c>
      <c r="P975" t="s">
        <v>205</v>
      </c>
      <c r="Q975" t="s">
        <v>72</v>
      </c>
      <c r="R975">
        <v>5.8</v>
      </c>
      <c r="S975" t="s">
        <v>2953</v>
      </c>
    </row>
    <row r="976" spans="1:19" x14ac:dyDescent="0.3">
      <c r="A976" t="s">
        <v>2292</v>
      </c>
      <c r="B976" t="s">
        <v>124</v>
      </c>
      <c r="C976" t="s">
        <v>362</v>
      </c>
      <c r="D976" t="s">
        <v>45</v>
      </c>
      <c r="E976">
        <v>39</v>
      </c>
      <c r="F976" t="s">
        <v>2946</v>
      </c>
      <c r="G976" t="s">
        <v>2290</v>
      </c>
      <c r="H976" t="s">
        <v>2291</v>
      </c>
      <c r="I976" t="s">
        <v>271</v>
      </c>
      <c r="J976" t="s">
        <v>95</v>
      </c>
      <c r="K976" t="s">
        <v>48</v>
      </c>
      <c r="M976" s="2">
        <v>295771</v>
      </c>
      <c r="N976" s="2" t="s">
        <v>2948</v>
      </c>
      <c r="O976" t="s">
        <v>216</v>
      </c>
      <c r="P976" t="s">
        <v>353</v>
      </c>
      <c r="Q976" t="s">
        <v>244</v>
      </c>
      <c r="R976">
        <v>8.1999999999999993</v>
      </c>
      <c r="S976" t="s">
        <v>2951</v>
      </c>
    </row>
    <row r="977" spans="1:19" x14ac:dyDescent="0.3">
      <c r="A977" t="s">
        <v>2294</v>
      </c>
      <c r="B977" t="s">
        <v>44</v>
      </c>
      <c r="C977" t="s">
        <v>141</v>
      </c>
      <c r="D977" t="s">
        <v>45</v>
      </c>
      <c r="F977" t="s">
        <v>2369</v>
      </c>
      <c r="G977" t="s">
        <v>2293</v>
      </c>
      <c r="H977" t="s">
        <v>2936</v>
      </c>
      <c r="I977" t="s">
        <v>100</v>
      </c>
      <c r="J977" t="s">
        <v>647</v>
      </c>
      <c r="K977" t="s">
        <v>48</v>
      </c>
      <c r="L977" s="1">
        <v>44033</v>
      </c>
      <c r="M977" s="2">
        <v>380547</v>
      </c>
      <c r="N977" s="2" t="s">
        <v>2948</v>
      </c>
      <c r="O977" t="s">
        <v>111</v>
      </c>
      <c r="P977" t="s">
        <v>152</v>
      </c>
      <c r="Q977" t="s">
        <v>244</v>
      </c>
      <c r="R977">
        <v>5.8</v>
      </c>
      <c r="S977" t="s">
        <v>2953</v>
      </c>
    </row>
    <row r="978" spans="1:19" x14ac:dyDescent="0.3">
      <c r="A978" t="s">
        <v>2296</v>
      </c>
      <c r="B978" t="s">
        <v>286</v>
      </c>
      <c r="C978" t="s">
        <v>273</v>
      </c>
      <c r="D978" t="s">
        <v>24</v>
      </c>
      <c r="E978">
        <v>22</v>
      </c>
      <c r="F978" t="s">
        <v>2945</v>
      </c>
      <c r="G978" t="s">
        <v>2295</v>
      </c>
      <c r="H978" t="s">
        <v>2937</v>
      </c>
      <c r="I978" t="s">
        <v>368</v>
      </c>
      <c r="J978" t="s">
        <v>192</v>
      </c>
      <c r="K978" t="s">
        <v>35</v>
      </c>
      <c r="M978" s="2">
        <v>318468</v>
      </c>
      <c r="N978" s="2" t="s">
        <v>2948</v>
      </c>
      <c r="O978" t="s">
        <v>130</v>
      </c>
      <c r="P978" t="s">
        <v>353</v>
      </c>
      <c r="Q978" t="s">
        <v>72</v>
      </c>
      <c r="R978">
        <v>5.5</v>
      </c>
      <c r="S978" t="s">
        <v>2953</v>
      </c>
    </row>
    <row r="979" spans="1:19" x14ac:dyDescent="0.3">
      <c r="A979" t="s">
        <v>2298</v>
      </c>
      <c r="B979" t="s">
        <v>127</v>
      </c>
      <c r="C979" t="s">
        <v>23</v>
      </c>
      <c r="D979" t="s">
        <v>24</v>
      </c>
      <c r="E979">
        <v>39</v>
      </c>
      <c r="F979" t="s">
        <v>2946</v>
      </c>
      <c r="G979" t="s">
        <v>2297</v>
      </c>
      <c r="H979" t="s">
        <v>2938</v>
      </c>
      <c r="I979" t="s">
        <v>592</v>
      </c>
      <c r="J979" t="s">
        <v>247</v>
      </c>
      <c r="K979" t="s">
        <v>48</v>
      </c>
      <c r="L979" s="1">
        <v>44857</v>
      </c>
      <c r="M979" s="2">
        <v>549435</v>
      </c>
      <c r="N979" s="2" t="s">
        <v>2950</v>
      </c>
      <c r="O979" t="s">
        <v>198</v>
      </c>
      <c r="P979" t="s">
        <v>205</v>
      </c>
      <c r="Q979" t="s">
        <v>72</v>
      </c>
      <c r="R979">
        <v>3.6</v>
      </c>
      <c r="S979" t="s">
        <v>2952</v>
      </c>
    </row>
    <row r="980" spans="1:19" x14ac:dyDescent="0.3">
      <c r="A980" t="s">
        <v>2299</v>
      </c>
      <c r="B980" t="s">
        <v>113</v>
      </c>
      <c r="C980" t="s">
        <v>31</v>
      </c>
      <c r="D980" t="s">
        <v>24</v>
      </c>
      <c r="E980">
        <v>54</v>
      </c>
      <c r="F980" t="s">
        <v>2947</v>
      </c>
      <c r="G980" t="s">
        <v>2471</v>
      </c>
      <c r="H980" t="s">
        <v>2369</v>
      </c>
      <c r="I980" t="s">
        <v>53</v>
      </c>
      <c r="J980" t="s">
        <v>373</v>
      </c>
      <c r="K980" t="s">
        <v>35</v>
      </c>
      <c r="L980" s="1">
        <v>44509</v>
      </c>
      <c r="M980" s="2">
        <v>107189</v>
      </c>
      <c r="N980" s="2" t="s">
        <v>2949</v>
      </c>
      <c r="O980" t="s">
        <v>111</v>
      </c>
      <c r="P980" t="s">
        <v>152</v>
      </c>
      <c r="Q980" t="s">
        <v>79</v>
      </c>
      <c r="R980">
        <v>4.5</v>
      </c>
      <c r="S980" t="s">
        <v>2952</v>
      </c>
    </row>
    <row r="981" spans="1:19" x14ac:dyDescent="0.3">
      <c r="A981" t="s">
        <v>2194</v>
      </c>
      <c r="B981" t="s">
        <v>37</v>
      </c>
      <c r="C981" t="s">
        <v>31</v>
      </c>
      <c r="D981" t="s">
        <v>24</v>
      </c>
      <c r="E981">
        <v>53</v>
      </c>
      <c r="F981" t="s">
        <v>2947</v>
      </c>
      <c r="G981" t="s">
        <v>2300</v>
      </c>
      <c r="H981" t="s">
        <v>2939</v>
      </c>
      <c r="I981" t="s">
        <v>517</v>
      </c>
      <c r="J981" t="s">
        <v>596</v>
      </c>
      <c r="K981" t="s">
        <v>28</v>
      </c>
      <c r="L981" s="1">
        <v>42830</v>
      </c>
      <c r="M981" s="2">
        <v>410876</v>
      </c>
      <c r="N981" s="2" t="s">
        <v>2948</v>
      </c>
      <c r="O981" t="s">
        <v>130</v>
      </c>
      <c r="P981" t="s">
        <v>90</v>
      </c>
      <c r="Q981" t="s">
        <v>244</v>
      </c>
      <c r="R981">
        <v>9.1</v>
      </c>
      <c r="S981" t="s">
        <v>2951</v>
      </c>
    </row>
    <row r="982" spans="1:19" x14ac:dyDescent="0.3">
      <c r="A982" t="s">
        <v>2301</v>
      </c>
      <c r="B982" t="s">
        <v>92</v>
      </c>
      <c r="C982" t="s">
        <v>62</v>
      </c>
      <c r="D982" t="s">
        <v>45</v>
      </c>
      <c r="E982">
        <v>33</v>
      </c>
      <c r="F982" t="s">
        <v>2946</v>
      </c>
      <c r="G982" t="s">
        <v>2302</v>
      </c>
      <c r="H982" t="s">
        <v>2940</v>
      </c>
      <c r="I982" t="s">
        <v>100</v>
      </c>
      <c r="J982" t="s">
        <v>603</v>
      </c>
      <c r="K982" t="s">
        <v>35</v>
      </c>
      <c r="L982" s="1">
        <v>44992</v>
      </c>
      <c r="M982" s="2">
        <v>212227</v>
      </c>
      <c r="N982" s="2" t="s">
        <v>2948</v>
      </c>
      <c r="O982" t="s">
        <v>198</v>
      </c>
      <c r="P982" t="s">
        <v>205</v>
      </c>
      <c r="Q982" t="s">
        <v>158</v>
      </c>
      <c r="R982">
        <v>3.2</v>
      </c>
      <c r="S982" t="s">
        <v>2952</v>
      </c>
    </row>
    <row r="983" spans="1:19" x14ac:dyDescent="0.3">
      <c r="A983" t="s">
        <v>2303</v>
      </c>
      <c r="B983" t="s">
        <v>43</v>
      </c>
      <c r="C983" t="s">
        <v>50</v>
      </c>
      <c r="D983" t="s">
        <v>45</v>
      </c>
      <c r="E983">
        <v>56</v>
      </c>
      <c r="F983" t="s">
        <v>2947</v>
      </c>
      <c r="G983" t="s">
        <v>2304</v>
      </c>
      <c r="H983" t="s">
        <v>2305</v>
      </c>
      <c r="I983" t="s">
        <v>53</v>
      </c>
      <c r="J983" t="s">
        <v>320</v>
      </c>
      <c r="K983" t="s">
        <v>28</v>
      </c>
      <c r="L983" s="1">
        <v>44931</v>
      </c>
      <c r="M983" s="2">
        <v>707644</v>
      </c>
      <c r="N983" s="2" t="s">
        <v>2950</v>
      </c>
      <c r="O983" t="s">
        <v>111</v>
      </c>
      <c r="P983" t="s">
        <v>21</v>
      </c>
      <c r="Q983" t="s">
        <v>244</v>
      </c>
      <c r="R983">
        <v>3.4</v>
      </c>
      <c r="S983" t="s">
        <v>2952</v>
      </c>
    </row>
    <row r="984" spans="1:19" x14ac:dyDescent="0.3">
      <c r="A984" t="s">
        <v>2367</v>
      </c>
      <c r="B984" t="s">
        <v>61</v>
      </c>
      <c r="C984" t="s">
        <v>408</v>
      </c>
      <c r="D984" t="s">
        <v>45</v>
      </c>
      <c r="E984">
        <v>42</v>
      </c>
      <c r="F984" t="s">
        <v>2946</v>
      </c>
      <c r="G984" t="s">
        <v>2306</v>
      </c>
      <c r="H984" t="s">
        <v>2307</v>
      </c>
      <c r="I984" t="s">
        <v>100</v>
      </c>
      <c r="J984" t="s">
        <v>692</v>
      </c>
      <c r="K984" t="s">
        <v>28</v>
      </c>
      <c r="L984" s="1">
        <v>42956</v>
      </c>
      <c r="M984" s="2">
        <v>622611</v>
      </c>
      <c r="N984" s="2" t="s">
        <v>2950</v>
      </c>
      <c r="O984" t="s">
        <v>198</v>
      </c>
      <c r="P984" t="s">
        <v>21</v>
      </c>
      <c r="Q984" t="s">
        <v>244</v>
      </c>
      <c r="R984">
        <v>8.8000000000000007</v>
      </c>
      <c r="S984" t="s">
        <v>2951</v>
      </c>
    </row>
    <row r="985" spans="1:19" x14ac:dyDescent="0.3">
      <c r="A985" t="s">
        <v>2368</v>
      </c>
      <c r="B985" t="s">
        <v>43</v>
      </c>
      <c r="C985" t="s">
        <v>86</v>
      </c>
      <c r="D985" t="s">
        <v>24</v>
      </c>
      <c r="E985">
        <v>36</v>
      </c>
      <c r="F985" t="s">
        <v>2946</v>
      </c>
      <c r="G985" t="s">
        <v>2308</v>
      </c>
      <c r="H985" t="s">
        <v>2941</v>
      </c>
      <c r="I985" t="s">
        <v>271</v>
      </c>
      <c r="J985" t="s">
        <v>700</v>
      </c>
      <c r="K985" t="s">
        <v>48</v>
      </c>
      <c r="M985" s="2">
        <v>433327</v>
      </c>
      <c r="N985" s="2" t="s">
        <v>2948</v>
      </c>
      <c r="O985" t="s">
        <v>41</v>
      </c>
      <c r="P985" t="s">
        <v>21</v>
      </c>
      <c r="Q985" t="s">
        <v>158</v>
      </c>
      <c r="R985">
        <v>7.6</v>
      </c>
      <c r="S985" t="s">
        <v>2953</v>
      </c>
    </row>
    <row r="986" spans="1:19" x14ac:dyDescent="0.3">
      <c r="A986" t="s">
        <v>2309</v>
      </c>
      <c r="B986" t="s">
        <v>416</v>
      </c>
      <c r="C986" t="s">
        <v>68</v>
      </c>
      <c r="D986" t="s">
        <v>45</v>
      </c>
      <c r="E986">
        <v>49</v>
      </c>
      <c r="F986" t="s">
        <v>2947</v>
      </c>
      <c r="G986" t="s">
        <v>2310</v>
      </c>
      <c r="H986" t="s">
        <v>2369</v>
      </c>
      <c r="I986" t="s">
        <v>100</v>
      </c>
      <c r="J986" t="s">
        <v>473</v>
      </c>
      <c r="K986" t="s">
        <v>48</v>
      </c>
      <c r="L986" s="1">
        <v>43320</v>
      </c>
      <c r="M986" s="2">
        <v>143564</v>
      </c>
      <c r="N986" s="2" t="s">
        <v>2949</v>
      </c>
      <c r="O986" t="s">
        <v>111</v>
      </c>
      <c r="P986" t="s">
        <v>152</v>
      </c>
      <c r="Q986" t="s">
        <v>244</v>
      </c>
      <c r="R986">
        <v>7.8</v>
      </c>
      <c r="S986" t="s">
        <v>2953</v>
      </c>
    </row>
  </sheetData>
  <phoneticPr fontId="2" type="noConversion"/>
  <pageMargins left="0.75" right="0.75" top="1" bottom="1" header="0.5" footer="0.5"/>
  <ignoredErrors>
    <ignoredError sqref="H2:H986"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31241-536F-426D-B41C-F3AE619B4DBD}">
  <sheetPr codeName="Sheet2"/>
  <dimension ref="A1:K68"/>
  <sheetViews>
    <sheetView workbookViewId="0">
      <selection activeCell="K4" sqref="K4"/>
    </sheetView>
  </sheetViews>
  <sheetFormatPr defaultRowHeight="14.4" x14ac:dyDescent="0.3"/>
  <cols>
    <col min="1" max="1" width="20.77734375" bestFit="1" customWidth="1"/>
    <col min="2" max="2" width="13.88671875" bestFit="1" customWidth="1"/>
    <col min="3" max="3" width="5.21875" bestFit="1" customWidth="1"/>
    <col min="4" max="4" width="10.77734375" bestFit="1" customWidth="1"/>
    <col min="9" max="9" width="20.33203125" bestFit="1" customWidth="1"/>
    <col min="10" max="10" width="12.33203125" bestFit="1" customWidth="1"/>
  </cols>
  <sheetData>
    <row r="1" spans="1:11" ht="15.6" x14ac:dyDescent="0.3">
      <c r="A1" t="s">
        <v>517</v>
      </c>
      <c r="I1" s="11" t="s">
        <v>2959</v>
      </c>
      <c r="J1" s="11" t="s">
        <v>2960</v>
      </c>
      <c r="K1" s="11" t="s">
        <v>2961</v>
      </c>
    </row>
    <row r="2" spans="1:11" x14ac:dyDescent="0.3">
      <c r="A2" s="8" t="s">
        <v>2954</v>
      </c>
      <c r="B2" t="s">
        <v>2957</v>
      </c>
      <c r="I2" s="10" t="s">
        <v>2962</v>
      </c>
      <c r="J2">
        <f>GETPIVOTDATA("[Measures].[Count of Employee_ID]",$A$2)</f>
        <v>985</v>
      </c>
      <c r="K2" t="str">
        <f>TEXT(J2,"##0")</f>
        <v>985</v>
      </c>
    </row>
    <row r="3" spans="1:11" x14ac:dyDescent="0.3">
      <c r="A3" s="9" t="s">
        <v>517</v>
      </c>
      <c r="B3" s="16">
        <v>82</v>
      </c>
      <c r="I3" s="10" t="s">
        <v>2963</v>
      </c>
      <c r="J3">
        <f>GETPIVOTDATA("[Measures].[Average of Age]",$A$57)</f>
        <v>40.348837209302324</v>
      </c>
      <c r="K3" t="str">
        <f>TEXT(J3,"##0")</f>
        <v>40</v>
      </c>
    </row>
    <row r="4" spans="1:11" x14ac:dyDescent="0.3">
      <c r="A4" s="9" t="s">
        <v>235</v>
      </c>
      <c r="B4" s="16">
        <v>89</v>
      </c>
      <c r="I4" s="10" t="s">
        <v>2964</v>
      </c>
      <c r="J4">
        <f>GETPIVOTDATA("[Measures].[Count of Employee_ID]",$A$49,"[Range].[Employment_Status]","[Range].[Employment_Status].&amp;[Full Time]")/GETPIVOTDATA("[Measures].[Count of Employee_ID]",$A$49)</f>
        <v>0.27106598984771574</v>
      </c>
      <c r="K4" t="str">
        <f>IFERROR(TEXT(J4,"##0.0%"),"0%")</f>
        <v>27.1%</v>
      </c>
    </row>
    <row r="5" spans="1:11" x14ac:dyDescent="0.3">
      <c r="A5" s="9" t="s">
        <v>100</v>
      </c>
      <c r="B5" s="16">
        <v>93</v>
      </c>
      <c r="I5" s="10" t="s">
        <v>2966</v>
      </c>
      <c r="J5">
        <f>GETPIVOTDATA("[Measures].[Count of Employee_ID]",$A$25,"[Range].[Gender]","[Range].[Gender].&amp;[Male]")/GETPIVOTDATA("[Measures].[Count of Employee_ID]",$A$25)</f>
        <v>0.37157360406091372</v>
      </c>
      <c r="K5" t="str">
        <f>IFERROR(TEXT(J5,"##0.0%"),"0%")</f>
        <v>37.2%</v>
      </c>
    </row>
    <row r="6" spans="1:11" x14ac:dyDescent="0.3">
      <c r="A6" s="9" t="s">
        <v>209</v>
      </c>
      <c r="B6" s="16">
        <v>94</v>
      </c>
      <c r="I6" s="10" t="s">
        <v>2967</v>
      </c>
      <c r="J6">
        <f>GETPIVOTDATA("[Measures].[Count of Employee_ID]",$A$25,"[Range].[Gender]","[Range].[Gender].&amp;[Female]")/GETPIVOTDATA("[Measures].[Count of Employee_ID]",$A$25)</f>
        <v>0.62842639593908634</v>
      </c>
      <c r="K6" t="str">
        <f>IFERROR(TEXT(J6,"##0.0%"),"0%")</f>
        <v>62.8%</v>
      </c>
    </row>
    <row r="7" spans="1:11" x14ac:dyDescent="0.3">
      <c r="A7" s="9" t="s">
        <v>53</v>
      </c>
      <c r="B7" s="16">
        <v>96</v>
      </c>
    </row>
    <row r="8" spans="1:11" x14ac:dyDescent="0.3">
      <c r="A8" s="9" t="s">
        <v>592</v>
      </c>
      <c r="B8" s="16">
        <v>99</v>
      </c>
    </row>
    <row r="9" spans="1:11" x14ac:dyDescent="0.3">
      <c r="A9" s="9" t="s">
        <v>485</v>
      </c>
      <c r="B9" s="16">
        <v>100</v>
      </c>
    </row>
    <row r="10" spans="1:11" x14ac:dyDescent="0.3">
      <c r="A10" s="9" t="s">
        <v>394</v>
      </c>
      <c r="B10" s="16">
        <v>105</v>
      </c>
    </row>
    <row r="11" spans="1:11" x14ac:dyDescent="0.3">
      <c r="A11" s="9" t="s">
        <v>368</v>
      </c>
      <c r="B11" s="16">
        <v>112</v>
      </c>
    </row>
    <row r="12" spans="1:11" x14ac:dyDescent="0.3">
      <c r="A12" s="9" t="s">
        <v>271</v>
      </c>
      <c r="B12" s="16">
        <v>115</v>
      </c>
    </row>
    <row r="13" spans="1:11" x14ac:dyDescent="0.3">
      <c r="A13" s="9" t="s">
        <v>2955</v>
      </c>
      <c r="B13" s="16">
        <v>985</v>
      </c>
    </row>
    <row r="16" spans="1:11" x14ac:dyDescent="0.3">
      <c r="A16" s="8" t="s">
        <v>2954</v>
      </c>
      <c r="B16" t="s">
        <v>2957</v>
      </c>
    </row>
    <row r="17" spans="1:4" x14ac:dyDescent="0.3">
      <c r="A17" s="9" t="s">
        <v>152</v>
      </c>
      <c r="B17" s="16">
        <v>215</v>
      </c>
    </row>
    <row r="18" spans="1:4" x14ac:dyDescent="0.3">
      <c r="A18" s="9" t="s">
        <v>205</v>
      </c>
      <c r="B18" s="16">
        <v>204</v>
      </c>
    </row>
    <row r="19" spans="1:4" x14ac:dyDescent="0.3">
      <c r="A19" s="9" t="s">
        <v>21</v>
      </c>
      <c r="B19" s="16">
        <v>200</v>
      </c>
    </row>
    <row r="20" spans="1:4" x14ac:dyDescent="0.3">
      <c r="A20" s="9" t="s">
        <v>353</v>
      </c>
      <c r="B20" s="16">
        <v>192</v>
      </c>
    </row>
    <row r="21" spans="1:4" x14ac:dyDescent="0.3">
      <c r="A21" s="9" t="s">
        <v>90</v>
      </c>
      <c r="B21" s="16">
        <v>174</v>
      </c>
    </row>
    <row r="22" spans="1:4" x14ac:dyDescent="0.3">
      <c r="A22" s="9" t="s">
        <v>2955</v>
      </c>
      <c r="B22" s="16">
        <v>985</v>
      </c>
    </row>
    <row r="25" spans="1:4" x14ac:dyDescent="0.3">
      <c r="A25" s="8" t="s">
        <v>2957</v>
      </c>
      <c r="B25" s="8" t="s">
        <v>2956</v>
      </c>
    </row>
    <row r="26" spans="1:4" x14ac:dyDescent="0.3">
      <c r="A26" s="8" t="s">
        <v>2954</v>
      </c>
      <c r="B26" t="s">
        <v>24</v>
      </c>
      <c r="C26" t="s">
        <v>45</v>
      </c>
      <c r="D26" t="s">
        <v>2955</v>
      </c>
    </row>
    <row r="27" spans="1:4" x14ac:dyDescent="0.3">
      <c r="A27" s="9" t="s">
        <v>517</v>
      </c>
      <c r="B27" s="16">
        <v>52</v>
      </c>
      <c r="C27" s="16">
        <v>30</v>
      </c>
      <c r="D27" s="16">
        <v>82</v>
      </c>
    </row>
    <row r="28" spans="1:4" x14ac:dyDescent="0.3">
      <c r="A28" s="9" t="s">
        <v>235</v>
      </c>
      <c r="B28" s="16">
        <v>64</v>
      </c>
      <c r="C28" s="16">
        <v>25</v>
      </c>
      <c r="D28" s="16">
        <v>89</v>
      </c>
    </row>
    <row r="29" spans="1:4" x14ac:dyDescent="0.3">
      <c r="A29" s="9" t="s">
        <v>100</v>
      </c>
      <c r="B29" s="16">
        <v>51</v>
      </c>
      <c r="C29" s="16">
        <v>42</v>
      </c>
      <c r="D29" s="16">
        <v>93</v>
      </c>
    </row>
    <row r="30" spans="1:4" x14ac:dyDescent="0.3">
      <c r="A30" s="9" t="s">
        <v>209</v>
      </c>
      <c r="B30" s="16">
        <v>65</v>
      </c>
      <c r="C30" s="16">
        <v>29</v>
      </c>
      <c r="D30" s="16">
        <v>94</v>
      </c>
    </row>
    <row r="31" spans="1:4" x14ac:dyDescent="0.3">
      <c r="A31" s="9" t="s">
        <v>53</v>
      </c>
      <c r="B31" s="16">
        <v>52</v>
      </c>
      <c r="C31" s="16">
        <v>44</v>
      </c>
      <c r="D31" s="16">
        <v>96</v>
      </c>
    </row>
    <row r="32" spans="1:4" x14ac:dyDescent="0.3">
      <c r="A32" s="9" t="s">
        <v>592</v>
      </c>
      <c r="B32" s="16">
        <v>65</v>
      </c>
      <c r="C32" s="16">
        <v>34</v>
      </c>
      <c r="D32" s="16">
        <v>99</v>
      </c>
    </row>
    <row r="33" spans="1:4" x14ac:dyDescent="0.3">
      <c r="A33" s="9" t="s">
        <v>485</v>
      </c>
      <c r="B33" s="16">
        <v>66</v>
      </c>
      <c r="C33" s="16">
        <v>34</v>
      </c>
      <c r="D33" s="16">
        <v>100</v>
      </c>
    </row>
    <row r="34" spans="1:4" x14ac:dyDescent="0.3">
      <c r="A34" s="9" t="s">
        <v>394</v>
      </c>
      <c r="B34" s="16">
        <v>66</v>
      </c>
      <c r="C34" s="16">
        <v>39</v>
      </c>
      <c r="D34" s="16">
        <v>105</v>
      </c>
    </row>
    <row r="35" spans="1:4" x14ac:dyDescent="0.3">
      <c r="A35" s="9" t="s">
        <v>368</v>
      </c>
      <c r="B35" s="16">
        <v>64</v>
      </c>
      <c r="C35" s="16">
        <v>48</v>
      </c>
      <c r="D35" s="16">
        <v>112</v>
      </c>
    </row>
    <row r="36" spans="1:4" x14ac:dyDescent="0.3">
      <c r="A36" s="9" t="s">
        <v>271</v>
      </c>
      <c r="B36" s="16">
        <v>74</v>
      </c>
      <c r="C36" s="16">
        <v>41</v>
      </c>
      <c r="D36" s="16">
        <v>115</v>
      </c>
    </row>
    <row r="37" spans="1:4" x14ac:dyDescent="0.3">
      <c r="A37" s="9" t="s">
        <v>2955</v>
      </c>
      <c r="B37" s="16">
        <v>619</v>
      </c>
      <c r="C37" s="16">
        <v>366</v>
      </c>
      <c r="D37" s="16">
        <v>985</v>
      </c>
    </row>
    <row r="40" spans="1:4" x14ac:dyDescent="0.3">
      <c r="A40" s="8" t="s">
        <v>2954</v>
      </c>
      <c r="B40" t="s">
        <v>2957</v>
      </c>
    </row>
    <row r="41" spans="1:4" x14ac:dyDescent="0.3">
      <c r="A41" s="9" t="s">
        <v>111</v>
      </c>
      <c r="B41" s="16">
        <v>262</v>
      </c>
    </row>
    <row r="42" spans="1:4" x14ac:dyDescent="0.3">
      <c r="A42" s="9" t="s">
        <v>130</v>
      </c>
      <c r="B42" s="16">
        <v>250</v>
      </c>
    </row>
    <row r="43" spans="1:4" x14ac:dyDescent="0.3">
      <c r="A43" s="9" t="s">
        <v>216</v>
      </c>
      <c r="B43" s="16">
        <v>202</v>
      </c>
    </row>
    <row r="44" spans="1:4" x14ac:dyDescent="0.3">
      <c r="A44" s="9" t="s">
        <v>41</v>
      </c>
      <c r="B44" s="16">
        <v>140</v>
      </c>
    </row>
    <row r="45" spans="1:4" x14ac:dyDescent="0.3">
      <c r="A45" s="9" t="s">
        <v>253</v>
      </c>
      <c r="B45" s="16">
        <v>131</v>
      </c>
    </row>
    <row r="46" spans="1:4" x14ac:dyDescent="0.3">
      <c r="A46" s="9" t="s">
        <v>2955</v>
      </c>
      <c r="B46" s="16">
        <v>985</v>
      </c>
    </row>
    <row r="49" spans="1:2" x14ac:dyDescent="0.3">
      <c r="A49" s="8" t="s">
        <v>2954</v>
      </c>
      <c r="B49" t="s">
        <v>2957</v>
      </c>
    </row>
    <row r="50" spans="1:2" x14ac:dyDescent="0.3">
      <c r="A50" s="9" t="s">
        <v>35</v>
      </c>
      <c r="B50" s="16">
        <v>200</v>
      </c>
    </row>
    <row r="51" spans="1:2" x14ac:dyDescent="0.3">
      <c r="A51" s="9" t="s">
        <v>28</v>
      </c>
      <c r="B51" s="16">
        <v>219</v>
      </c>
    </row>
    <row r="52" spans="1:2" x14ac:dyDescent="0.3">
      <c r="A52" s="9" t="s">
        <v>48</v>
      </c>
      <c r="B52" s="16">
        <v>267</v>
      </c>
    </row>
    <row r="53" spans="1:2" x14ac:dyDescent="0.3">
      <c r="A53" s="9" t="s">
        <v>71</v>
      </c>
      <c r="B53" s="16">
        <v>299</v>
      </c>
    </row>
    <row r="54" spans="1:2" x14ac:dyDescent="0.3">
      <c r="A54" s="9" t="s">
        <v>2955</v>
      </c>
      <c r="B54" s="16">
        <v>985</v>
      </c>
    </row>
    <row r="57" spans="1:2" x14ac:dyDescent="0.3">
      <c r="A57" s="8" t="s">
        <v>2954</v>
      </c>
      <c r="B57" t="s">
        <v>2965</v>
      </c>
    </row>
    <row r="58" spans="1:2" x14ac:dyDescent="0.3">
      <c r="A58" s="9" t="s">
        <v>592</v>
      </c>
      <c r="B58" s="16">
        <v>41.185567010309278</v>
      </c>
    </row>
    <row r="59" spans="1:2" x14ac:dyDescent="0.3">
      <c r="A59" s="9" t="s">
        <v>271</v>
      </c>
      <c r="B59" s="16">
        <v>39.821428571428569</v>
      </c>
    </row>
    <row r="60" spans="1:2" x14ac:dyDescent="0.3">
      <c r="A60" s="9" t="s">
        <v>368</v>
      </c>
      <c r="B60" s="16">
        <v>40.38095238095238</v>
      </c>
    </row>
    <row r="61" spans="1:2" x14ac:dyDescent="0.3">
      <c r="A61" s="9" t="s">
        <v>235</v>
      </c>
      <c r="B61" s="16">
        <v>39.678160919540232</v>
      </c>
    </row>
    <row r="62" spans="1:2" x14ac:dyDescent="0.3">
      <c r="A62" s="9" t="s">
        <v>485</v>
      </c>
      <c r="B62" s="16">
        <v>40.202020202020201</v>
      </c>
    </row>
    <row r="63" spans="1:2" x14ac:dyDescent="0.3">
      <c r="A63" s="9" t="s">
        <v>209</v>
      </c>
      <c r="B63" s="16">
        <v>41.375</v>
      </c>
    </row>
    <row r="64" spans="1:2" x14ac:dyDescent="0.3">
      <c r="A64" s="9" t="s">
        <v>100</v>
      </c>
      <c r="B64" s="16">
        <v>41.127906976744185</v>
      </c>
    </row>
    <row r="65" spans="1:2" x14ac:dyDescent="0.3">
      <c r="A65" s="9" t="s">
        <v>394</v>
      </c>
      <c r="B65" s="16">
        <v>39.121212121212125</v>
      </c>
    </row>
    <row r="66" spans="1:2" x14ac:dyDescent="0.3">
      <c r="A66" s="9" t="s">
        <v>53</v>
      </c>
      <c r="B66" s="16">
        <v>40.787234042553195</v>
      </c>
    </row>
    <row r="67" spans="1:2" x14ac:dyDescent="0.3">
      <c r="A67" s="9" t="s">
        <v>517</v>
      </c>
      <c r="B67" s="16">
        <v>39.974683544303801</v>
      </c>
    </row>
    <row r="68" spans="1:2" x14ac:dyDescent="0.3">
      <c r="A68" s="9" t="s">
        <v>2955</v>
      </c>
      <c r="B68" s="16">
        <v>40.348837209302324</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C751E-7938-4CB8-BFDB-7AE3E5BD196D}">
  <sheetPr codeName="Sheet3"/>
  <dimension ref="A1:P39"/>
  <sheetViews>
    <sheetView showGridLines="0" showRowColHeaders="0" tabSelected="1" workbookViewId="0">
      <selection activeCell="X2" sqref="X2"/>
    </sheetView>
  </sheetViews>
  <sheetFormatPr defaultRowHeight="14.4" x14ac:dyDescent="0.3"/>
  <cols>
    <col min="1" max="16384" width="8.88671875" style="7"/>
  </cols>
  <sheetData>
    <row r="1" spans="1:16" x14ac:dyDescent="0.3">
      <c r="A1" s="7" t="s">
        <v>2976</v>
      </c>
      <c r="E1" s="7" t="s">
        <v>2958</v>
      </c>
    </row>
    <row r="2" spans="1:16" x14ac:dyDescent="0.3">
      <c r="P2" s="7" t="s">
        <v>2958</v>
      </c>
    </row>
    <row r="7" spans="1:16" x14ac:dyDescent="0.3">
      <c r="B7" s="7" t="s">
        <v>2958</v>
      </c>
    </row>
    <row r="11" spans="1:16" x14ac:dyDescent="0.3">
      <c r="A11" s="7" t="s">
        <v>2958</v>
      </c>
    </row>
    <row r="39" spans="1:1" x14ac:dyDescent="0.3">
      <c r="A39" s="7" t="s">
        <v>2958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C8B7-CC44-44B3-A788-3B503E26547E}">
  <sheetPr codeName="Sheet5"/>
  <dimension ref="O1"/>
  <sheetViews>
    <sheetView showGridLines="0" showRowColHeaders="0" workbookViewId="0">
      <selection activeCell="A2" sqref="A2"/>
    </sheetView>
  </sheetViews>
  <sheetFormatPr defaultRowHeight="14.4" x14ac:dyDescent="0.3"/>
  <cols>
    <col min="1" max="16384" width="8.88671875" style="7"/>
  </cols>
  <sheetData>
    <row r="1" spans="15:15" x14ac:dyDescent="0.3">
      <c r="O1" s="7" t="s">
        <v>2958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0DF3-EEC5-4859-ADC2-72ACC0149DFA}">
  <sheetPr codeName="Sheet4"/>
  <dimension ref="A1:Y60"/>
  <sheetViews>
    <sheetView zoomScaleNormal="100" workbookViewId="0">
      <selection activeCell="F30" sqref="F30"/>
    </sheetView>
  </sheetViews>
  <sheetFormatPr defaultRowHeight="14.4" x14ac:dyDescent="0.3"/>
  <cols>
    <col min="1" max="1" width="12.5546875" bestFit="1" customWidth="1"/>
    <col min="2" max="2" width="20.109375" bestFit="1" customWidth="1"/>
    <col min="3" max="3" width="8.44140625" bestFit="1" customWidth="1"/>
    <col min="4" max="4" width="5.5546875" bestFit="1" customWidth="1"/>
    <col min="5" max="5" width="5" bestFit="1" customWidth="1"/>
    <col min="6" max="7" width="10.77734375" bestFit="1" customWidth="1"/>
    <col min="8" max="8" width="21.77734375" bestFit="1" customWidth="1"/>
    <col min="9" max="9" width="12.6640625" bestFit="1" customWidth="1"/>
  </cols>
  <sheetData>
    <row r="1" spans="1:25" ht="15.6" x14ac:dyDescent="0.3">
      <c r="H1" s="11" t="s">
        <v>2959</v>
      </c>
      <c r="I1" s="11" t="s">
        <v>2960</v>
      </c>
      <c r="J1" s="11" t="s">
        <v>2961</v>
      </c>
      <c r="Y1" s="15"/>
    </row>
    <row r="2" spans="1:25" x14ac:dyDescent="0.3">
      <c r="A2" s="8" t="s">
        <v>2954</v>
      </c>
      <c r="B2" t="s">
        <v>2968</v>
      </c>
      <c r="H2" s="10" t="s">
        <v>2971</v>
      </c>
      <c r="I2" s="2">
        <f>GETPIVOTDATA("[Measures].[Average of Salary_NGN]",$A$2)</f>
        <v>582121.17290425533</v>
      </c>
      <c r="J2" t="str">
        <f>TEXT(I2,"₦##0,K")</f>
        <v>₦582K</v>
      </c>
    </row>
    <row r="3" spans="1:25" x14ac:dyDescent="0.3">
      <c r="A3" s="9" t="s">
        <v>592</v>
      </c>
      <c r="B3" s="12">
        <v>488163.32608695654</v>
      </c>
      <c r="H3" s="10" t="s">
        <v>2972</v>
      </c>
      <c r="I3">
        <f>GETPIVOTDATA("[Measures].[Average of Years_of_Service]",$A$49)</f>
        <v>7.1767512690355337</v>
      </c>
      <c r="J3" t="str">
        <f>TEXT(I3,"##0.0")</f>
        <v>7.2</v>
      </c>
    </row>
    <row r="4" spans="1:25" x14ac:dyDescent="0.3">
      <c r="A4" s="9" t="s">
        <v>485</v>
      </c>
      <c r="B4" s="12">
        <v>488726.13021739136</v>
      </c>
      <c r="H4" s="10" t="s">
        <v>2974</v>
      </c>
      <c r="I4">
        <f>GETPIVOTDATA("[Measures].[Count of Employee_ID]",$A$16,"[Range].[Performance_Rating]","[Range].[Performance_Rating].&amp;[Excellent]")/GETPIVOTDATA("[Measures].[Count of Employee_ID]",$A$16)</f>
        <v>0.23022598870056496</v>
      </c>
      <c r="J4" t="str">
        <f>IFERROR(TEXT(I4,"##0.0%"),"0%")</f>
        <v>23.0%</v>
      </c>
    </row>
    <row r="5" spans="1:25" x14ac:dyDescent="0.3">
      <c r="A5" s="9" t="s">
        <v>368</v>
      </c>
      <c r="B5" s="12">
        <v>533215.43809523806</v>
      </c>
      <c r="H5" s="10" t="s">
        <v>2973</v>
      </c>
      <c r="I5">
        <f>GETPIVOTDATA("[Measures].[Count of Employee_ID]",$A$16,"[Range].[Performance_Rating]","[Range].[Performance_Rating].&amp;[Poor]")/GETPIVOTDATA("[Measures].[Count of Employee_ID]",$A$16)</f>
        <v>0.26694915254237289</v>
      </c>
      <c r="J5" t="str">
        <f>IFERROR(TEXT(I5,"##0.0%"),"0%")</f>
        <v>26.7%</v>
      </c>
    </row>
    <row r="6" spans="1:25" x14ac:dyDescent="0.3">
      <c r="A6" s="9" t="s">
        <v>235</v>
      </c>
      <c r="B6" s="12">
        <v>568860.84183908044</v>
      </c>
    </row>
    <row r="7" spans="1:25" x14ac:dyDescent="0.3">
      <c r="A7" s="9" t="s">
        <v>394</v>
      </c>
      <c r="B7" s="12">
        <v>580653.49019607843</v>
      </c>
    </row>
    <row r="8" spans="1:25" x14ac:dyDescent="0.3">
      <c r="A8" s="9" t="s">
        <v>100</v>
      </c>
      <c r="B8" s="12">
        <v>597730.65595505619</v>
      </c>
    </row>
    <row r="9" spans="1:25" x14ac:dyDescent="0.3">
      <c r="A9" s="9" t="s">
        <v>53</v>
      </c>
      <c r="B9" s="12">
        <v>608588.55434782605</v>
      </c>
    </row>
    <row r="10" spans="1:25" x14ac:dyDescent="0.3">
      <c r="A10" s="9" t="s">
        <v>209</v>
      </c>
      <c r="B10" s="12">
        <v>611148.52577777777</v>
      </c>
      <c r="P10" t="s">
        <v>2970</v>
      </c>
    </row>
    <row r="11" spans="1:25" x14ac:dyDescent="0.3">
      <c r="A11" s="9" t="s">
        <v>271</v>
      </c>
      <c r="B11" s="12">
        <v>625347.80666666664</v>
      </c>
    </row>
    <row r="12" spans="1:25" x14ac:dyDescent="0.3">
      <c r="A12" s="9" t="s">
        <v>517</v>
      </c>
      <c r="B12" s="12">
        <v>737621.913375</v>
      </c>
    </row>
    <row r="13" spans="1:25" x14ac:dyDescent="0.3">
      <c r="A13" s="9" t="s">
        <v>2955</v>
      </c>
      <c r="B13" s="12">
        <v>582121.17290425533</v>
      </c>
      <c r="D13" s="12"/>
    </row>
    <row r="16" spans="1:25" x14ac:dyDescent="0.3">
      <c r="A16" s="8" t="s">
        <v>2954</v>
      </c>
      <c r="B16" t="s">
        <v>2957</v>
      </c>
    </row>
    <row r="17" spans="1:2" x14ac:dyDescent="0.3">
      <c r="A17" s="9" t="s">
        <v>72</v>
      </c>
      <c r="B17" s="14">
        <v>177</v>
      </c>
    </row>
    <row r="18" spans="1:2" x14ac:dyDescent="0.3">
      <c r="A18" s="9" t="s">
        <v>158</v>
      </c>
      <c r="B18" s="14">
        <v>163</v>
      </c>
    </row>
    <row r="19" spans="1:2" x14ac:dyDescent="0.3">
      <c r="A19" s="9" t="s">
        <v>65</v>
      </c>
      <c r="B19" s="14">
        <v>179</v>
      </c>
    </row>
    <row r="20" spans="1:2" x14ac:dyDescent="0.3">
      <c r="A20" s="9" t="s">
        <v>79</v>
      </c>
      <c r="B20" s="14">
        <v>189</v>
      </c>
    </row>
    <row r="21" spans="1:2" x14ac:dyDescent="0.3">
      <c r="A21" s="9" t="s">
        <v>2955</v>
      </c>
      <c r="B21" s="14">
        <v>708</v>
      </c>
    </row>
    <row r="24" spans="1:2" x14ac:dyDescent="0.3">
      <c r="A24" s="8" t="s">
        <v>2954</v>
      </c>
      <c r="B24" t="s">
        <v>2969</v>
      </c>
    </row>
    <row r="25" spans="1:2" x14ac:dyDescent="0.3">
      <c r="A25" s="9" t="s">
        <v>216</v>
      </c>
      <c r="B25" s="12">
        <v>8633810</v>
      </c>
    </row>
    <row r="26" spans="1:2" x14ac:dyDescent="0.3">
      <c r="A26" s="9" t="s">
        <v>130</v>
      </c>
      <c r="B26" s="12">
        <v>8264180</v>
      </c>
    </row>
    <row r="27" spans="1:2" x14ac:dyDescent="0.3">
      <c r="A27" s="9" t="s">
        <v>111</v>
      </c>
      <c r="B27" s="12">
        <v>7537960</v>
      </c>
    </row>
    <row r="28" spans="1:2" x14ac:dyDescent="0.3">
      <c r="A28" s="9" t="s">
        <v>41</v>
      </c>
      <c r="B28" s="12">
        <v>7493250</v>
      </c>
    </row>
    <row r="29" spans="1:2" x14ac:dyDescent="0.3">
      <c r="A29" s="9" t="s">
        <v>253</v>
      </c>
      <c r="B29" s="12">
        <v>2275320</v>
      </c>
    </row>
    <row r="30" spans="1:2" x14ac:dyDescent="0.3">
      <c r="A30" s="9" t="s">
        <v>2955</v>
      </c>
      <c r="B30" s="12">
        <v>8633810</v>
      </c>
    </row>
    <row r="33" spans="1:6" x14ac:dyDescent="0.3">
      <c r="A33" s="8" t="s">
        <v>2957</v>
      </c>
      <c r="B33" s="8" t="s">
        <v>2956</v>
      </c>
    </row>
    <row r="34" spans="1:6" x14ac:dyDescent="0.3">
      <c r="A34" s="8" t="s">
        <v>2954</v>
      </c>
      <c r="B34" t="s">
        <v>72</v>
      </c>
      <c r="C34" t="s">
        <v>158</v>
      </c>
      <c r="D34" t="s">
        <v>65</v>
      </c>
      <c r="E34" t="s">
        <v>79</v>
      </c>
      <c r="F34" t="s">
        <v>2955</v>
      </c>
    </row>
    <row r="35" spans="1:6" x14ac:dyDescent="0.3">
      <c r="A35" s="9" t="s">
        <v>2947</v>
      </c>
      <c r="B35" s="14">
        <v>58</v>
      </c>
      <c r="C35" s="14">
        <v>62</v>
      </c>
      <c r="D35" s="14">
        <v>61</v>
      </c>
      <c r="E35" s="14">
        <v>73</v>
      </c>
      <c r="F35" s="14">
        <v>254</v>
      </c>
    </row>
    <row r="36" spans="1:6" x14ac:dyDescent="0.3">
      <c r="A36" s="9" t="s">
        <v>2946</v>
      </c>
      <c r="B36" s="14">
        <v>64</v>
      </c>
      <c r="C36" s="14">
        <v>55</v>
      </c>
      <c r="D36" s="14">
        <v>77</v>
      </c>
      <c r="E36" s="14">
        <v>64</v>
      </c>
      <c r="F36" s="14">
        <v>260</v>
      </c>
    </row>
    <row r="37" spans="1:6" x14ac:dyDescent="0.3">
      <c r="A37" s="9" t="s">
        <v>2945</v>
      </c>
      <c r="B37" s="14">
        <v>48</v>
      </c>
      <c r="C37" s="14">
        <v>40</v>
      </c>
      <c r="D37" s="14">
        <v>38</v>
      </c>
      <c r="E37" s="14">
        <v>44</v>
      </c>
      <c r="F37" s="14">
        <v>170</v>
      </c>
    </row>
    <row r="38" spans="1:6" x14ac:dyDescent="0.3">
      <c r="A38" s="9" t="s">
        <v>2955</v>
      </c>
      <c r="B38" s="14">
        <v>170</v>
      </c>
      <c r="C38" s="14">
        <v>157</v>
      </c>
      <c r="D38" s="14">
        <v>176</v>
      </c>
      <c r="E38" s="14">
        <v>181</v>
      </c>
      <c r="F38" s="14">
        <v>684</v>
      </c>
    </row>
    <row r="41" spans="1:6" x14ac:dyDescent="0.3">
      <c r="A41" s="8" t="s">
        <v>2957</v>
      </c>
      <c r="B41" s="8" t="s">
        <v>2956</v>
      </c>
    </row>
    <row r="42" spans="1:6" x14ac:dyDescent="0.3">
      <c r="A42" s="8" t="s">
        <v>2954</v>
      </c>
      <c r="B42" t="s">
        <v>72</v>
      </c>
      <c r="C42" t="s">
        <v>158</v>
      </c>
      <c r="D42" t="s">
        <v>65</v>
      </c>
      <c r="E42" t="s">
        <v>79</v>
      </c>
      <c r="F42" t="s">
        <v>2955</v>
      </c>
    </row>
    <row r="43" spans="1:6" x14ac:dyDescent="0.3">
      <c r="A43" s="9" t="s">
        <v>2951</v>
      </c>
      <c r="B43" s="14">
        <v>74</v>
      </c>
      <c r="C43" s="14">
        <v>58</v>
      </c>
      <c r="D43" s="14">
        <v>61</v>
      </c>
      <c r="E43" s="14">
        <v>82</v>
      </c>
      <c r="F43" s="14">
        <v>275</v>
      </c>
    </row>
    <row r="44" spans="1:6" x14ac:dyDescent="0.3">
      <c r="A44" s="9" t="s">
        <v>2953</v>
      </c>
      <c r="B44" s="14">
        <v>59</v>
      </c>
      <c r="C44" s="14">
        <v>61</v>
      </c>
      <c r="D44" s="14">
        <v>71</v>
      </c>
      <c r="E44" s="14">
        <v>62</v>
      </c>
      <c r="F44" s="14">
        <v>253</v>
      </c>
    </row>
    <row r="45" spans="1:6" x14ac:dyDescent="0.3">
      <c r="A45" s="9" t="s">
        <v>2952</v>
      </c>
      <c r="B45" s="14">
        <v>44</v>
      </c>
      <c r="C45" s="14">
        <v>44</v>
      </c>
      <c r="D45" s="14">
        <v>47</v>
      </c>
      <c r="E45" s="14">
        <v>45</v>
      </c>
      <c r="F45" s="14">
        <v>180</v>
      </c>
    </row>
    <row r="46" spans="1:6" x14ac:dyDescent="0.3">
      <c r="A46" s="9" t="s">
        <v>2955</v>
      </c>
      <c r="B46" s="14">
        <v>177</v>
      </c>
      <c r="C46" s="14">
        <v>163</v>
      </c>
      <c r="D46" s="14">
        <v>179</v>
      </c>
      <c r="E46" s="14">
        <v>189</v>
      </c>
      <c r="F46" s="14">
        <v>708</v>
      </c>
    </row>
    <row r="49" spans="1:2" x14ac:dyDescent="0.3">
      <c r="A49" s="8" t="s">
        <v>2954</v>
      </c>
      <c r="B49" t="s">
        <v>2975</v>
      </c>
    </row>
    <row r="50" spans="1:2" x14ac:dyDescent="0.3">
      <c r="A50" s="9" t="s">
        <v>517</v>
      </c>
      <c r="B50" s="13">
        <v>7.25</v>
      </c>
    </row>
    <row r="51" spans="1:2" x14ac:dyDescent="0.3">
      <c r="A51" s="9" t="s">
        <v>592</v>
      </c>
      <c r="B51" s="13">
        <v>7.1616161616161618</v>
      </c>
    </row>
    <row r="52" spans="1:2" x14ac:dyDescent="0.3">
      <c r="A52" s="9" t="s">
        <v>271</v>
      </c>
      <c r="B52" s="13">
        <v>7.3591304347826085</v>
      </c>
    </row>
    <row r="53" spans="1:2" x14ac:dyDescent="0.3">
      <c r="A53" s="9" t="s">
        <v>368</v>
      </c>
      <c r="B53" s="13">
        <v>7.5151785714285717</v>
      </c>
    </row>
    <row r="54" spans="1:2" x14ac:dyDescent="0.3">
      <c r="A54" s="9" t="s">
        <v>235</v>
      </c>
      <c r="B54" s="13">
        <v>7.2370786516853931</v>
      </c>
    </row>
    <row r="55" spans="1:2" x14ac:dyDescent="0.3">
      <c r="A55" s="9" t="s">
        <v>485</v>
      </c>
      <c r="B55" s="13">
        <v>6.65</v>
      </c>
    </row>
    <row r="56" spans="1:2" x14ac:dyDescent="0.3">
      <c r="A56" s="9" t="s">
        <v>209</v>
      </c>
      <c r="B56" s="13">
        <v>7.2468085106382985</v>
      </c>
    </row>
    <row r="57" spans="1:2" x14ac:dyDescent="0.3">
      <c r="A57" s="9" t="s">
        <v>100</v>
      </c>
      <c r="B57" s="13">
        <v>6.9591397849462373</v>
      </c>
    </row>
    <row r="58" spans="1:2" x14ac:dyDescent="0.3">
      <c r="A58" s="9" t="s">
        <v>394</v>
      </c>
      <c r="B58" s="13">
        <v>7.38</v>
      </c>
    </row>
    <row r="59" spans="1:2" x14ac:dyDescent="0.3">
      <c r="A59" s="9" t="s">
        <v>53</v>
      </c>
      <c r="B59" s="13">
        <v>6.9291666666666671</v>
      </c>
    </row>
    <row r="60" spans="1:2" x14ac:dyDescent="0.3">
      <c r="A60" s="9" t="s">
        <v>2955</v>
      </c>
      <c r="B60" s="13">
        <v>7.1767512690355337</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6B4FB0E-218C-4969-9B53-8DE4601BDE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HR_Raw_Data</vt:lpstr>
      <vt:lpstr>Pivot Table 1</vt:lpstr>
      <vt:lpstr>Dashboard 1</vt:lpstr>
      <vt:lpstr>Dashboard 2</vt:lpstr>
      <vt:lpstr>Pivot Table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Emmy Jakes</cp:lastModifiedBy>
  <dcterms:created xsi:type="dcterms:W3CDTF">2026-05-15T03:39:42Z</dcterms:created>
  <dcterms:modified xsi:type="dcterms:W3CDTF">2026-06-16T15:57:47Z</dcterms:modified>
</cp:coreProperties>
</file>